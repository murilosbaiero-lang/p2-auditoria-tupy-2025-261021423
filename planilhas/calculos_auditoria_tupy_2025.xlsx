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81ce1f756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5b5128457314ff9"/>
    <x:sheet xmlns:r="http://schemas.openxmlformats.org/officeDocument/2006/relationships" name="Materialidade" sheetId="2" r:id="R3f991223045b4239"/>
    <x:sheet xmlns:r="http://schemas.openxmlformats.org/officeDocument/2006/relationships" name="Demonstrações" sheetId="3" r:id="R0ea61337125546e8"/>
    <x:sheet xmlns:r="http://schemas.openxmlformats.org/officeDocument/2006/relationships" name="Indicadores" sheetId="4" r:id="R5f6cf0d1da9744c9"/>
    <x:sheet xmlns:r="http://schemas.openxmlformats.org/officeDocument/2006/relationships" name="Riscos" sheetId="5" r:id="R9e635eef3ef042f7"/>
    <x:sheet xmlns:r="http://schemas.openxmlformats.org/officeDocument/2006/relationships" name="Ciclos" sheetId="6" r:id="Refbbba186c2c4e68"/>
    <x:sheet xmlns:r="http://schemas.openxmlformats.org/officeDocument/2006/relationships" name="Imobilizado" sheetId="7" r:id="Rcb32cddfd8e847e0"/>
    <x:sheet xmlns:r="http://schemas.openxmlformats.org/officeDocument/2006/relationships" name="Testes 100%" sheetId="8" r:id="Rce478f14b16a418e"/>
    <x:sheet xmlns:r="http://schemas.openxmlformats.org/officeDocument/2006/relationships" name="Distorções" sheetId="9" r:id="Rf5409bf214a74dfe"/>
    <x:sheet xmlns:r="http://schemas.openxmlformats.org/officeDocument/2006/relationships" name="MUS" sheetId="10" r:id="Ra93fe811d2ef46b0"/>
    <x:sheet xmlns:r="http://schemas.openxmlformats.org/officeDocument/2006/relationships" name="Continuidade" sheetId="11" r:id="Rd51da081c90a479b"/>
    <x:sheet xmlns:r="http://schemas.openxmlformats.org/officeDocument/2006/relationships" name="Fontes" sheetId="12" r:id="R28563e7c307d4620"/>
    <x:sheet xmlns:r="http://schemas.openxmlformats.org/officeDocument/2006/relationships" name="Leia-me" sheetId="13" r:id="Red05b62ebc7d4b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#,##0.0;[Red](#,##0.0);-"/>
    <x:numFmt numFmtId="202" formatCode="0.0%;[Red](0.0%);-"/>
    <x:numFmt numFmtId="203" formatCode="0.00x;[Red](0.00x);-"/>
  </x:numFmts>
  <x:fonts count="10">
    <x:font>
      <x:sz val="11"/>
      <x:name val="Carlito"/>
    </x:font>
    <x:font>
      <x:b/>
      <x:sz val="16"/>
      <x:color rgb="FFFFFFFF"/>
      <x:name val="Arial"/>
    </x:font>
    <x:font>
      <x:i/>
      <x:sz val="10"/>
      <x:color rgb="FF595959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13"/>
      <x:color rgb="FF9C0006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9C000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203" fontId="8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200" fontId="8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202" fontId="3" fillId="3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f1628660d467b" /><Relationship Type="http://schemas.openxmlformats.org/officeDocument/2006/relationships/theme" Target="/xl/theme/theme1.xml" Id="R8629717428514d36" /><Relationship Type="http://schemas.openxmlformats.org/officeDocument/2006/relationships/sharedStrings" Target="/xl/sharedStrings.xml" Id="Rad5731d465494b9e" /><Relationship Type="http://schemas.openxmlformats.org/officeDocument/2006/relationships/worksheet" Target="/xl/worksheets/sheet1.xml" Id="R05b5128457314ff9" /><Relationship Type="http://schemas.openxmlformats.org/officeDocument/2006/relationships/worksheet" Target="/xl/worksheets/sheet2.xml" Id="R3f991223045b4239" /><Relationship Type="http://schemas.openxmlformats.org/officeDocument/2006/relationships/worksheet" Target="/xl/worksheets/sheet3.xml" Id="R0ea61337125546e8" /><Relationship Type="http://schemas.openxmlformats.org/officeDocument/2006/relationships/worksheet" Target="/xl/worksheets/sheet4.xml" Id="R5f6cf0d1da9744c9" /><Relationship Type="http://schemas.openxmlformats.org/officeDocument/2006/relationships/worksheet" Target="/xl/worksheets/sheet5.xml" Id="R9e635eef3ef042f7" /><Relationship Type="http://schemas.openxmlformats.org/officeDocument/2006/relationships/worksheet" Target="/xl/worksheets/sheet6.xml" Id="Refbbba186c2c4e68" /><Relationship Type="http://schemas.openxmlformats.org/officeDocument/2006/relationships/worksheet" Target="/xl/worksheets/sheet7.xml" Id="Rcb32cddfd8e847e0" /><Relationship Type="http://schemas.openxmlformats.org/officeDocument/2006/relationships/worksheet" Target="/xl/worksheets/sheet8.xml" Id="Rce478f14b16a418e" /><Relationship Type="http://schemas.openxmlformats.org/officeDocument/2006/relationships/worksheet" Target="/xl/worksheets/sheet9.xml" Id="Rf5409bf214a74dfe" /><Relationship Type="http://schemas.openxmlformats.org/officeDocument/2006/relationships/worksheet" Target="/xl/worksheets/sheet10.xml" Id="Ra93fe811d2ef46b0" /><Relationship Type="http://schemas.openxmlformats.org/officeDocument/2006/relationships/worksheet" Target="/xl/worksheets/sheet11.xml" Id="Rd51da081c90a479b" /><Relationship Type="http://schemas.openxmlformats.org/officeDocument/2006/relationships/worksheet" Target="/xl/worksheets/sheet12.xml" Id="R28563e7c307d4620" /><Relationship Type="http://schemas.openxmlformats.org/officeDocument/2006/relationships/worksheet" Target="/xl/worksheets/sheet13.xml" Id="Red05b62ebc7d4b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3aadb285704a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Desempenho consolidado 2024 e 2025 (R$ milhões)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2024 (R$ milhões)</c:v>
          </c:tx>
          <c:invertIfNegative val="0"/>
          <c:cat>
            <c:strRef>
              <c:f>'Resumo'!$A$14:$A$18</c:f>
              <c:strCache>
                <c:ptCount val="0"/>
              </c:strCache>
            </c:strRef>
          </c:cat>
          <c:val>
            <c:numRef>
              <c:f>'Resumo'!$B$14:$B$18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2025 (R$ milhões)</c:v>
          </c:tx>
          <c:invertIfNegative val="0"/>
          <c:cat>
            <c:strRef>
              <c:f>'Resumo'!$A$14:$A$18</c:f>
              <c:strCache>
                <c:ptCount val="0"/>
              </c:strCache>
            </c:strRef>
          </c:cat>
          <c:val>
            <c:numRef>
              <c:f>'Resumo'!$C$14:$C$18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3aadb285704a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c5e07a53b44c6d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4" t="str">
        <x:v>Auditoria acadêmica Tupy 2025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5" t="str">
        <x:v>Resumo executivo dos cálculos, riscos e resultados simulados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4">
      <x:c r="A4" s="37" t="str">
        <x:v>Materialidade global</x:v>
      </x:c>
      <x:c r="B4" s="37" t="str"/>
      <x:c r="C4" s="37" t="str">
        <x:v>Materialidade de execução</x:v>
      </x:c>
      <x:c r="D4" s="37" t="str"/>
      <x:c r="E4" s="37" t="str">
        <x:v>Imobilizado líquido</x:v>
      </x:c>
      <x:c r="F4" s="37" t="str"/>
      <x:c r="G4" s="36"/>
      <x:c r="H4" s="36"/>
      <x:c r="I4" s="36"/>
      <x:c r="J4" s="36"/>
      <x:c r="K4" s="36"/>
      <x:c r="L4" s="36"/>
    </x:row>
    <x:row r="5">
      <x:c r="A5" s="38" t="n">
        <x:f>Materialidade!B6</x:f>
        <x:v>46958205</x:v>
      </x:c>
      <x:c r="B5" s="38"/>
      <x:c r="C5" s="38" t="n">
        <x:f>Materialidade!B8</x:f>
        <x:v>32870743.499999996</x:v>
      </x:c>
      <x:c r="D5" s="38"/>
      <x:c r="E5" s="38" t="n">
        <x:f>Imobilizado!I12</x:f>
        <x:v>2525157000</x:v>
      </x:c>
      <x:c r="F5" s="38"/>
      <x:c r="G5" s="36"/>
      <x:c r="H5" s="36"/>
      <x:c r="I5" s="36"/>
      <x:c r="J5" s="36"/>
      <x:c r="K5" s="36"/>
      <x:c r="L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</x:row>
    <x:row r="7">
      <x:c r="A7" s="37" t="str">
        <x:v>Distorção líquida simulada</x:v>
      </x:c>
      <x:c r="B7" s="37" t="str"/>
      <x:c r="C7" s="37" t="str">
        <x:v>Limite superior MUS</x:v>
      </x:c>
      <x:c r="D7" s="37" t="str"/>
      <x:c r="E7" s="37" t="str">
        <x:v>Conclusão MUS</x:v>
      </x:c>
      <x:c r="F7" s="37" t="str"/>
      <x:c r="G7" s="36"/>
      <x:c r="H7" s="36"/>
      <x:c r="I7" s="36"/>
      <x:c r="J7" s="36"/>
      <x:c r="K7" s="36"/>
      <x:c r="L7" s="36"/>
    </x:row>
    <x:row r="8">
      <x:c r="A8" s="39" t="n">
        <x:f>Distorções!F15</x:f>
        <x:v>53000000</x:v>
      </x:c>
      <x:c r="B8" s="39"/>
      <x:c r="C8" s="39" t="n">
        <x:f>MUS!B20</x:f>
        <x:v>92014333.37662205</x:v>
      </x:c>
      <x:c r="D8" s="39"/>
      <x:c r="E8" s="40" t="str">
        <x:f>MUS!B21</x:f>
        <x:v>NÃO ACEITAR A POPULAÇÃO</x:v>
      </x:c>
      <x:c r="F8" s="40"/>
      <x:c r="G8" s="36"/>
      <x:c r="H8" s="36"/>
      <x:c r="I8" s="36"/>
      <x:c r="J8" s="36"/>
      <x:c r="K8" s="36"/>
      <x:c r="L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</x:row>
    <x:row r="10">
      <x:c r="A10" s="41" t="str">
        <x:v>Limite de interpretação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2" t="str"/>
      <x:c r="K10" s="42" t="str"/>
      <x:c r="L10" s="42" t="str"/>
    </x:row>
    <x:row r="11" ht="36" customHeight="1">
      <x:c r="A11" s="43" t="str">
        <x:v>Os registros e erros do imobilizado são artificiais. Resultados simulados não são constatações sobre a Tupy e este arquivo não emite opinião independente.</x:v>
      </x:c>
      <x:c r="B11" s="43" t="str"/>
      <x:c r="C11" s="43" t="str"/>
      <x:c r="D11" s="43" t="str"/>
      <x:c r="E11" s="43" t="str"/>
      <x:c r="F11" s="43" t="str"/>
      <x:c r="G11" s="43" t="str"/>
      <x:c r="H11" s="43" t="str"/>
      <x:c r="I11" s="43" t="str"/>
      <x:c r="J11" s="43" t="str"/>
      <x:c r="K11" s="43" t="str"/>
      <x:c r="L11" s="43" t="str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</x:row>
    <x:row r="13" ht="30" customHeight="1">
      <x:c r="A13" s="19" t="str">
        <x:v>Métrica</x:v>
      </x:c>
      <x:c r="B13" s="19" t="str">
        <x:v>2024 (R$ milhões)</x:v>
      </x:c>
      <x:c r="C13" s="19" t="str">
        <x:v>2025 (R$ milhões)</x:v>
      </x:c>
      <x:c r="D13" s="36"/>
      <x:c r="E13" s="36"/>
      <x:c r="F13" s="36"/>
      <x:c r="G13" s="36"/>
      <x:c r="H13" s="36"/>
      <x:c r="I13" s="36"/>
      <x:c r="J13" s="36"/>
      <x:c r="K13" s="36"/>
      <x:c r="L13" s="36"/>
    </x:row>
    <x:row r="14">
      <x:c r="A14" s="22" t="str">
        <x:v>Receita</x:v>
      </x:c>
      <x:c r="B14" s="23" t="n">
        <x:v>10665.11</x:v>
      </x:c>
      <x:c r="C14" s="23" t="n">
        <x:v>9692.948</x:v>
      </x:c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22" t="str">
        <x:v>Lucro bruto</x:v>
      </x:c>
      <x:c r="B15" s="23" t="n">
        <x:v>1926.591</x:v>
      </x:c>
      <x:c r="C15" s="23" t="n">
        <x:v>1223.151</x:v>
      </x:c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22" t="str">
        <x:v>Resultado operacional</x:v>
      </x:c>
      <x:c r="B16" s="23" t="n">
        <x:v>559.667</x:v>
      </x:c>
      <x:c r="C16" s="23" t="n">
        <x:v>-156.481</x:v>
      </x:c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22" t="str">
        <x:v>Resultado líquido</x:v>
      </x:c>
      <x:c r="B17" s="23" t="n">
        <x:v>82.44</x:v>
      </x:c>
      <x:c r="C17" s="23" t="n">
        <x:v>-654.552</x:v>
      </x:c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22" t="str">
        <x:v>Caixa operacional</x:v>
      </x:c>
      <x:c r="B18" s="23" t="n">
        <x:v>1353.491</x:v>
      </x:c>
      <x:c r="C18" s="23" t="n">
        <x:v>915.137</x:v>
      </x:c>
      <x:c r="D18" s="36"/>
      <x:c r="E18" s="36"/>
      <x:c r="F18" s="36"/>
      <x:c r="G18" s="36"/>
      <x:c r="H18" s="36"/>
      <x:c r="I18" s="36"/>
      <x:c r="J18" s="36"/>
      <x:c r="K18" s="36"/>
      <x:c r="L18" s="36"/>
    </x:row>
  </x:sheetData>
  <x:mergeCells>
    <x:mergeCell ref="A11:L11"/>
  </x:mergeCells>
  <x:pageMargins left="0.7" right="0.7" top="0.75" bottom="0.75" header="0.3" footer="0.3"/>
  <x:drawing xmlns:r="http://schemas.openxmlformats.org/officeDocument/2006/relationships" r:id="Rbec5e07a53b44c6d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64" hidden="0" customWidth="1"/>
  </x:cols>
  <x:sheetData>
    <x:row r="1" ht="28" customHeight="1">
      <x:c r="A1" s="4" t="str">
        <x:v>Materialidade de auditoria</x:v>
      </x:c>
      <x:c r="B1" s="4"/>
      <x:c r="C1" s="4"/>
      <x:c r="D1" s="4"/>
      <x:c r="E1" s="4"/>
      <x:c r="F1" s="4"/>
    </x:row>
    <x:row r="2">
      <x:c r="A2" s="5" t="str">
        <x:v>Benchmark, percentuais e limites em reais</x:v>
      </x:c>
      <x:c r="B2" s="5"/>
      <x:c r="C2" s="5"/>
      <x:c r="D2" s="5"/>
      <x:c r="E2" s="5"/>
      <x:c r="F2" s="5"/>
    </x:row>
    <x:row r="3">
      <x:c r="A3" s="36"/>
      <x:c r="B3" s="36"/>
      <x:c r="C3" s="36"/>
      <x:c r="D3" s="36"/>
      <x:c r="E3" s="36"/>
      <x:c r="F3" s="36"/>
    </x:row>
    <x:row r="4" ht="30" customHeight="1">
      <x:c r="A4" s="19" t="str">
        <x:v>Parâmetro</x:v>
      </x:c>
      <x:c r="B4" s="19" t="str">
        <x:v>Valor</x:v>
      </x:c>
      <x:c r="C4" s="19" t="str">
        <x:v>Justificativa</x:v>
      </x:c>
      <x:c r="D4" s="36"/>
      <x:c r="E4" s="36"/>
      <x:c r="F4" s="36"/>
    </x:row>
    <x:row r="5">
      <x:c r="A5" s="22" t="str">
        <x:v>Ativo total consolidado</x:v>
      </x:c>
      <x:c r="B5" s="24" t="n">
        <x:v>9391641000</x:v>
      </x:c>
      <x:c r="C5" s="26" t="str">
        <x:v>Saldo público em 31/12/2025</x:v>
      </x:c>
      <x:c r="D5" s="36"/>
      <x:c r="E5" s="36"/>
      <x:c r="F5" s="36"/>
    </x:row>
    <x:row r="6">
      <x:c r="A6" s="22" t="str">
        <x:v>Materialidade global</x:v>
      </x:c>
      <x:c r="B6" s="24" t="n">
        <x:f>B5*0.5%</x:f>
        <x:v>46958205</x:v>
      </x:c>
      <x:c r="C6" s="26" t="str">
        <x:v>0,5% do ativo total</x:v>
      </x:c>
      <x:c r="D6" s="36"/>
      <x:c r="E6" s="36"/>
      <x:c r="F6" s="36"/>
    </x:row>
    <x:row r="7">
      <x:c r="A7" s="22" t="str">
        <x:v>Percentual de execução</x:v>
      </x:c>
      <x:c r="B7" s="25" t="n">
        <x:v>0.7</x:v>
      </x:c>
      <x:c r="C7" s="26" t="str">
        <x:v>Julgamento: riscos significativos e grupo internacional</x:v>
      </x:c>
      <x:c r="D7" s="36"/>
      <x:c r="E7" s="36"/>
      <x:c r="F7" s="36"/>
    </x:row>
    <x:row r="8">
      <x:c r="A8" s="22" t="str">
        <x:v>Materialidade de execução</x:v>
      </x:c>
      <x:c r="B8" s="24" t="n">
        <x:f>B6*B7</x:f>
        <x:v>32870743.499999996</x:v>
      </x:c>
      <x:c r="C8" s="26" t="str">
        <x:v>70% da materialidade global</x:v>
      </x:c>
      <x:c r="D8" s="36"/>
      <x:c r="E8" s="36"/>
      <x:c r="F8" s="36"/>
    </x:row>
    <x:row r="9">
      <x:c r="A9" s="22" t="str">
        <x:v>Percentual claramente trivial</x:v>
      </x:c>
      <x:c r="B9" s="25" t="n">
        <x:v>0.05</x:v>
      </x:c>
      <x:c r="C9" s="26" t="str">
        <x:v>5% da materialidade global</x:v>
      </x:c>
      <x:c r="D9" s="36"/>
      <x:c r="E9" s="36"/>
      <x:c r="F9" s="36"/>
    </x:row>
    <x:row r="10">
      <x:c r="A10" s="22" t="str">
        <x:v>Limite claramente trivial</x:v>
      </x:c>
      <x:c r="B10" s="24" t="n">
        <x:f>B6*B9</x:f>
        <x:v>2347910.25</x:v>
      </x:c>
      <x:c r="C10" s="26" t="str">
        <x:v>Limiar para acumulação de distorções</x:v>
      </x:c>
      <x:c r="D10" s="36"/>
      <x:c r="E10" s="36"/>
      <x:c r="F10" s="36"/>
    </x:row>
    <x:row r="11">
      <x:c r="A11" s="36"/>
      <x:c r="B11" s="36"/>
      <x:c r="C11" s="43"/>
      <x:c r="D11" s="36"/>
      <x:c r="E11" s="36"/>
      <x:c r="F11" s="36"/>
    </x:row>
    <x:row r="12" ht="30" customHeight="1">
      <x:c r="A12" s="19" t="str">
        <x:v>Benchmark alternativo</x:v>
      </x:c>
      <x:c r="B12" s="19" t="str">
        <x:v>Cálculo</x:v>
      </x:c>
      <x:c r="C12" s="19" t="str">
        <x:v>Leitura</x:v>
      </x:c>
      <x:c r="D12" s="36"/>
      <x:c r="E12" s="36"/>
      <x:c r="F12" s="36"/>
    </x:row>
    <x:row r="13">
      <x:c r="A13" s="22" t="str">
        <x:v>0,5% da receita</x:v>
      </x:c>
      <x:c r="B13" s="24" t="n">
        <x:v>48464740</x:v>
      </x:c>
      <x:c r="C13" s="26" t="str">
        <x:v>Próximo ao ativo; não escolhido</x:v>
      </x:c>
      <x:c r="D13" s="36"/>
      <x:c r="E13" s="36"/>
      <x:c r="F13" s="36"/>
    </x:row>
    <x:row r="14">
      <x:c r="A14" s="22" t="str">
        <x:v>Resultado líquido</x:v>
      </x:c>
      <x:c r="B14" s="24" t="n">
        <x:v>-654552000</x:v>
      </x:c>
      <x:c r="C14" s="26" t="str">
        <x:v>Inadequado por prejuízo e volatilidade</x:v>
      </x:c>
      <x:c r="D14" s="36"/>
      <x:c r="E14" s="36"/>
      <x:c r="F14" s="36"/>
    </x:row>
    <x:row r="15">
      <x:c r="A15" s="22" t="str">
        <x:v>Conclusão</x:v>
      </x:c>
      <x:c r="B15" s="24" t="n">
        <x:v>46958205</x:v>
      </x:c>
      <x:c r="C15" s="26" t="str">
        <x:v>Ativo é mais estável e relevante para entidade intensiva em ativos</x:v>
      </x:c>
      <x:c r="D15" s="36"/>
      <x:c r="E15" s="36"/>
      <x:c r="F15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 ht="28" customHeight="1">
      <x:c r="A1" s="4" t="str">
        <x:v>Dados financeiros públicos</x:v>
      </x:c>
      <x:c r="B1" s="4"/>
      <x:c r="C1" s="4"/>
      <x:c r="D1" s="4"/>
      <x:c r="E1" s="4"/>
      <x:c r="F1" s="4"/>
      <x:c r="G1" s="4"/>
    </x:row>
    <x:row r="2">
      <x:c r="A2" s="5" t="str">
        <x:v>Valores consolidados em reais; fontes e variações</x:v>
      </x:c>
      <x:c r="B2" s="5"/>
      <x:c r="C2" s="5"/>
      <x:c r="D2" s="5"/>
      <x:c r="E2" s="5"/>
      <x:c r="F2" s="5"/>
      <x:c r="G2" s="5"/>
    </x:row>
    <x:row r="3">
      <x:c r="A3" s="36"/>
      <x:c r="B3" s="36"/>
      <x:c r="C3" s="36"/>
      <x:c r="D3" s="36"/>
      <x:c r="E3" s="36"/>
      <x:c r="F3" s="36"/>
      <x:c r="G3" s="36"/>
    </x:row>
    <x:row r="4" ht="30" customHeight="1">
      <x:c r="A4" s="19" t="str">
        <x:v>Linha</x:v>
      </x:c>
      <x:c r="B4" s="19" t="str">
        <x:v>Demonstração</x:v>
      </x:c>
      <x:c r="C4" s="19" t="str">
        <x:v>2025</x:v>
      </x:c>
      <x:c r="D4" s="19" t="str">
        <x:v>2024</x:v>
      </x:c>
      <x:c r="E4" s="19" t="str">
        <x:v>Variação</x:v>
      </x:c>
      <x:c r="F4" s="19" t="str">
        <x:v>Variação %</x:v>
      </x:c>
      <x:c r="G4" s="19" t="str">
        <x:v>Fonte</x:v>
      </x:c>
    </x:row>
    <x:row r="5">
      <x:c r="A5" s="22" t="str">
        <x:v>Receitas</x:v>
      </x:c>
      <x:c r="B5" s="22" t="str">
        <x:v>DRE</x:v>
      </x:c>
      <x:c r="C5" s="24" t="n">
        <x:v>9692948000</x:v>
      </x:c>
      <x:c r="D5" s="24" t="n">
        <x:v>10665110000</x:v>
      </x:c>
      <x:c r="E5" s="24" t="n">
        <x:f>C5-D5</x:f>
        <x:v>-972162000</x:v>
      </x:c>
      <x:c r="F5" s="25" t="n">
        <x:f>IFERROR(E5/ABS(D5),0)</x:f>
        <x:v>-0.09115349021247789</x:v>
      </x:c>
      <x:c r="G5" s="22" t="str">
        <x:v>DF 2025, p. 20</x:v>
      </x:c>
    </x:row>
    <x:row r="6">
      <x:c r="A6" s="22" t="str">
        <x:v>Custo dos produtos vendidos</x:v>
      </x:c>
      <x:c r="B6" s="22" t="str">
        <x:v>DRE</x:v>
      </x:c>
      <x:c r="C6" s="24" t="n">
        <x:v>-8469797000</x:v>
      </x:c>
      <x:c r="D6" s="24" t="n">
        <x:v>-8738519000</x:v>
      </x:c>
      <x:c r="E6" s="24" t="n">
        <x:f>C6-D6</x:f>
        <x:v>268722000</x:v>
      </x:c>
      <x:c r="F6" s="25" t="n">
        <x:f>IFERROR(E6/ABS(D6),0)</x:f>
        <x:v>0.030751435111601864</x:v>
      </x:c>
      <x:c r="G6" s="22" t="str">
        <x:v>DF 2025, p. 20</x:v>
      </x:c>
    </x:row>
    <x:row r="7">
      <x:c r="A7" s="22" t="str">
        <x:v>Lucro bruto</x:v>
      </x:c>
      <x:c r="B7" s="22" t="str">
        <x:v>DRE</x:v>
      </x:c>
      <x:c r="C7" s="24" t="n">
        <x:v>1223151000</x:v>
      </x:c>
      <x:c r="D7" s="24" t="n">
        <x:v>1926591000</x:v>
      </x:c>
      <x:c r="E7" s="24" t="n">
        <x:f>C7-D7</x:f>
        <x:v>-703440000</x:v>
      </x:c>
      <x:c r="F7" s="25" t="n">
        <x:f>IFERROR(E7/ABS(D7),0)</x:f>
        <x:v>-0.36512160598694793</x:v>
      </x:c>
      <x:c r="G7" s="22" t="str">
        <x:v>DF 2025, p. 20</x:v>
      </x:c>
    </x:row>
    <x:row r="8">
      <x:c r="A8" s="22" t="str">
        <x:v>Resultado antes do financeiro e tributos</x:v>
      </x:c>
      <x:c r="B8" s="22" t="str">
        <x:v>DRE</x:v>
      </x:c>
      <x:c r="C8" s="24" t="n">
        <x:v>-156481000</x:v>
      </x:c>
      <x:c r="D8" s="24" t="n">
        <x:v>559667000</x:v>
      </x:c>
      <x:c r="E8" s="24" t="n">
        <x:f>C8-D8</x:f>
        <x:v>-716148000</x:v>
      </x:c>
      <x:c r="F8" s="25" t="n">
        <x:f>IFERROR(E8/ABS(D8),0)</x:f>
        <x:v>-1.2795966172742006</x:v>
      </x:c>
      <x:c r="G8" s="22" t="str">
        <x:v>DF 2025, p. 20</x:v>
      </x:c>
    </x:row>
    <x:row r="9">
      <x:c r="A9" s="22" t="str">
        <x:v>Despesas financeiras</x:v>
      </x:c>
      <x:c r="B9" s="22" t="str">
        <x:v>DRE</x:v>
      </x:c>
      <x:c r="C9" s="24" t="n">
        <x:v>-442547000</x:v>
      </x:c>
      <x:c r="D9" s="24" t="n">
        <x:v>-400941000</x:v>
      </x:c>
      <x:c r="E9" s="24" t="n">
        <x:f>C9-D9</x:f>
        <x:v>-41606000</x:v>
      </x:c>
      <x:c r="F9" s="25" t="n">
        <x:f>IFERROR(E9/ABS(D9),0)</x:f>
        <x:v>-0.10377087900713572</x:v>
      </x:c>
      <x:c r="G9" s="22" t="str">
        <x:v>DF 2025, p. 20</x:v>
      </x:c>
    </x:row>
    <x:row r="10">
      <x:c r="A10" s="22" t="str">
        <x:v>Lucro (prejuízo) líquido</x:v>
      </x:c>
      <x:c r="B10" s="22" t="str">
        <x:v>DRE</x:v>
      </x:c>
      <x:c r="C10" s="24" t="n">
        <x:v>-654552000</x:v>
      </x:c>
      <x:c r="D10" s="24" t="n">
        <x:v>82440000</x:v>
      </x:c>
      <x:c r="E10" s="24" t="n">
        <x:f>C10-D10</x:f>
        <x:v>-736992000</x:v>
      </x:c>
      <x:c r="F10" s="25" t="n">
        <x:f>IFERROR(E10/ABS(D10),0)</x:f>
        <x:v>-8.939737991266375</x:v>
      </x:c>
      <x:c r="G10" s="22" t="str">
        <x:v>DF 2025, p. 20</x:v>
      </x:c>
    </x:row>
    <x:row r="11">
      <x:c r="A11" s="22" t="str">
        <x:v>Caixa e equivalentes</x:v>
      </x:c>
      <x:c r="B11" s="22" t="str">
        <x:v>Ativo</x:v>
      </x:c>
      <x:c r="C11" s="24" t="n">
        <x:v>1853156000</x:v>
      </x:c>
      <x:c r="D11" s="24" t="n">
        <x:v>2376203000</x:v>
      </x:c>
      <x:c r="E11" s="24" t="n">
        <x:f>C11-D11</x:f>
        <x:v>-523047000</x:v>
      </x:c>
      <x:c r="F11" s="25" t="n">
        <x:f>IFERROR(E11/ABS(D11),0)</x:f>
        <x:v>-0.22011881981463705</x:v>
      </x:c>
      <x:c r="G11" s="22" t="str">
        <x:v>DF 2025, p. 18</x:v>
      </x:c>
    </x:row>
    <x:row r="12">
      <x:c r="A12" s="22" t="str">
        <x:v>Contas a receber</x:v>
      </x:c>
      <x:c r="B12" s="22" t="str">
        <x:v>Ativo</x:v>
      </x:c>
      <x:c r="C12" s="24" t="n">
        <x:v>1597455000</x:v>
      </x:c>
      <x:c r="D12" s="24" t="n">
        <x:v>1837435000</x:v>
      </x:c>
      <x:c r="E12" s="24" t="n">
        <x:f>C12-D12</x:f>
        <x:v>-239980000</x:v>
      </x:c>
      <x:c r="F12" s="25" t="n">
        <x:f>IFERROR(E12/ABS(D12),0)</x:f>
        <x:v>-0.1306059806197226</x:v>
      </x:c>
      <x:c r="G12" s="22" t="str">
        <x:v>DF 2025, p. 18</x:v>
      </x:c>
    </x:row>
    <x:row r="13">
      <x:c r="A13" s="22" t="str">
        <x:v>Estoques</x:v>
      </x:c>
      <x:c r="B13" s="22" t="str">
        <x:v>Ativo</x:v>
      </x:c>
      <x:c r="C13" s="24" t="n">
        <x:v>1721952000</x:v>
      </x:c>
      <x:c r="D13" s="24" t="n">
        <x:v>2197704000</x:v>
      </x:c>
      <x:c r="E13" s="24" t="n">
        <x:f>C13-D13</x:f>
        <x:v>-475752000</x:v>
      </x:c>
      <x:c r="F13" s="25" t="n">
        <x:f>IFERROR(E13/ABS(D13),0)</x:f>
        <x:v>-0.21647683218486202</x:v>
      </x:c>
      <x:c r="G13" s="22" t="str">
        <x:v>DF 2025, p. 18</x:v>
      </x:c>
    </x:row>
    <x:row r="14">
      <x:c r="A14" s="22" t="str">
        <x:v>Ativo circulante</x:v>
      </x:c>
      <x:c r="B14" s="22" t="str">
        <x:v>Ativo</x:v>
      </x:c>
      <x:c r="C14" s="24" t="n">
        <x:v>5947055000</x:v>
      </x:c>
      <x:c r="D14" s="24" t="n">
        <x:v>7460379000</x:v>
      </x:c>
      <x:c r="E14" s="24" t="n">
        <x:f>C14-D14</x:f>
        <x:v>-1513324000</x:v>
      </x:c>
      <x:c r="F14" s="25" t="n">
        <x:f>IFERROR(E14/ABS(D14),0)</x:f>
        <x:v>-0.2028481394846026</x:v>
      </x:c>
      <x:c r="G14" s="22" t="str">
        <x:v>DF 2025, p. 18</x:v>
      </x:c>
    </x:row>
    <x:row r="15">
      <x:c r="A15" s="22" t="str">
        <x:v>Ativo imobilizado</x:v>
      </x:c>
      <x:c r="B15" s="22" t="str">
        <x:v>Ativo</x:v>
      </x:c>
      <x:c r="C15" s="24" t="n">
        <x:v>2525157000</x:v>
      </x:c>
      <x:c r="D15" s="24" t="n">
        <x:v>2940751000</x:v>
      </x:c>
      <x:c r="E15" s="24" t="n">
        <x:f>C15-D15</x:f>
        <x:v>-415594000</x:v>
      </x:c>
      <x:c r="F15" s="25" t="n">
        <x:f>IFERROR(E15/ABS(D15),0)</x:f>
        <x:v>-0.14132240369891907</x:v>
      </x:c>
      <x:c r="G15" s="22" t="str">
        <x:v>DF 2025, p. 18 e Nota 13</x:v>
      </x:c>
    </x:row>
    <x:row r="16">
      <x:c r="A16" s="22" t="str">
        <x:v>Ativo fiscal diferido líquido</x:v>
      </x:c>
      <x:c r="B16" s="22" t="str">
        <x:v>Ativo</x:v>
      </x:c>
      <x:c r="C16" s="24" t="n">
        <x:v>680079000</x:v>
      </x:c>
      <x:c r="D16" s="24" t="n">
        <x:v>846275000</x:v>
      </x:c>
      <x:c r="E16" s="24" t="n">
        <x:f>C16-D16</x:f>
        <x:v>-166196000</x:v>
      </x:c>
      <x:c r="F16" s="25" t="n">
        <x:f>IFERROR(E16/ABS(D16),0)</x:f>
        <x:v>-0.19638533573601963</x:v>
      </x:c>
      <x:c r="G16" s="22" t="str">
        <x:v>DF 2025, p. 18 e Nota 9</x:v>
      </x:c>
    </x:row>
    <x:row r="17">
      <x:c r="A17" s="22" t="str">
        <x:v>Ativo total</x:v>
      </x:c>
      <x:c r="B17" s="22" t="str">
        <x:v>Ativo</x:v>
      </x:c>
      <x:c r="C17" s="24" t="n">
        <x:v>9391641000</x:v>
      </x:c>
      <x:c r="D17" s="24" t="n">
        <x:v>11510863000</x:v>
      </x:c>
      <x:c r="E17" s="24" t="n">
        <x:f>C17-D17</x:f>
        <x:v>-2119222000</x:v>
      </x:c>
      <x:c r="F17" s="25" t="n">
        <x:f>IFERROR(E17/ABS(D17),0)</x:f>
        <x:v>-0.1841062655336963</x:v>
      </x:c>
      <x:c r="G17" s="22" t="str">
        <x:v>DF 2025, p. 18</x:v>
      </x:c>
    </x:row>
    <x:row r="18">
      <x:c r="A18" s="22" t="str">
        <x:v>Fornecedores</x:v>
      </x:c>
      <x:c r="B18" s="22" t="str">
        <x:v>Passivo</x:v>
      </x:c>
      <x:c r="C18" s="24" t="n">
        <x:v>1137117000</x:v>
      </x:c>
      <x:c r="D18" s="24" t="n">
        <x:v>1482620000</x:v>
      </x:c>
      <x:c r="E18" s="24" t="n">
        <x:f>C18-D18</x:f>
        <x:v>-345503000</x:v>
      </x:c>
      <x:c r="F18" s="25" t="n">
        <x:f>IFERROR(E18/ABS(D18),0)</x:f>
        <x:v>-0.23303543726646073</x:v>
      </x:c>
      <x:c r="G18" s="22" t="str">
        <x:v>DF 2025, p. 19</x:v>
      </x:c>
    </x:row>
    <x:row r="19">
      <x:c r="A19" s="22" t="str">
        <x:v>Passivo circulante</x:v>
      </x:c>
      <x:c r="B19" s="22" t="str">
        <x:v>Passivo</x:v>
      </x:c>
      <x:c r="C19" s="24" t="n">
        <x:v>2478815000</x:v>
      </x:c>
      <x:c r="D19" s="24" t="n">
        <x:v>3390939000</x:v>
      </x:c>
      <x:c r="E19" s="24" t="n">
        <x:f>C19-D19</x:f>
        <x:v>-912124000</x:v>
      </x:c>
      <x:c r="F19" s="25" t="n">
        <x:f>IFERROR(E19/ABS(D19),0)</x:f>
        <x:v>-0.2689886193765208</x:v>
      </x:c>
      <x:c r="G19" s="22" t="str">
        <x:v>DF 2025, p. 19</x:v>
      </x:c>
    </x:row>
    <x:row r="20">
      <x:c r="A20" s="22" t="str">
        <x:v>Passivo não circulante</x:v>
      </x:c>
      <x:c r="B20" s="22" t="str">
        <x:v>Passivo</x:v>
      </x:c>
      <x:c r="C20" s="24" t="n">
        <x:v>4399450000</x:v>
      </x:c>
      <x:c r="D20" s="24" t="n">
        <x:v>4620577000</x:v>
      </x:c>
      <x:c r="E20" s="24" t="n">
        <x:f>C20-D20</x:f>
        <x:v>-221127000</x:v>
      </x:c>
      <x:c r="F20" s="25" t="n">
        <x:f>IFERROR(E20/ABS(D20),0)</x:f>
        <x:v>-0.04785701006605885</x:v>
      </x:c>
      <x:c r="G20" s="22" t="str">
        <x:v>DF 2025, p. 19</x:v>
      </x:c>
    </x:row>
    <x:row r="21">
      <x:c r="A21" s="22" t="str">
        <x:v>Patrimônio líquido</x:v>
      </x:c>
      <x:c r="B21" s="22" t="str">
        <x:v>Patrimônio líquido</x:v>
      </x:c>
      <x:c r="C21" s="24" t="n">
        <x:v>2513376000</x:v>
      </x:c>
      <x:c r="D21" s="24" t="n">
        <x:v>3499347000</x:v>
      </x:c>
      <x:c r="E21" s="24" t="n">
        <x:f>C21-D21</x:f>
        <x:v>-985971000</x:v>
      </x:c>
      <x:c r="F21" s="25" t="n">
        <x:f>IFERROR(E21/ABS(D21),0)</x:f>
        <x:v>-0.28175856809856237</x:v>
      </x:c>
      <x:c r="G21" s="22" t="str">
        <x:v>DF 2025, p. 19</x:v>
      </x:c>
    </x:row>
    <x:row r="22">
      <x:c r="A22" s="22" t="str">
        <x:v>Caixa operacional</x:v>
      </x:c>
      <x:c r="B22" s="22" t="str">
        <x:v>DFC</x:v>
      </x:c>
      <x:c r="C22" s="24" t="n">
        <x:v>915137000</x:v>
      </x:c>
      <x:c r="D22" s="24" t="n">
        <x:v>1353491000</x:v>
      </x:c>
      <x:c r="E22" s="24" t="n">
        <x:f>C22-D22</x:f>
        <x:v>-438354000</x:v>
      </x:c>
      <x:c r="F22" s="25" t="n">
        <x:f>IFERROR(E22/ABS(D22),0)</x:f>
        <x:v>-0.32386916499629476</x:v>
      </x:c>
      <x:c r="G22" s="22" t="str">
        <x:v>DF 2025, p. 23</x:v>
      </x:c>
    </x:row>
    <x:row r="23">
      <x:c r="A23" s="22" t="str">
        <x:v>Endividamento bruto ajustado</x:v>
      </x:c>
      <x:c r="B23" s="22" t="str">
        <x:v>Indicador não GAAP</x:v>
      </x:c>
      <x:c r="C23" s="24" t="n">
        <x:v>4096546000</x:v>
      </x:c>
      <x:c r="D23" s="24" t="n">
        <x:v>4792385000</x:v>
      </x:c>
      <x:c r="E23" s="24" t="n">
        <x:f>C23-D23</x:f>
        <x:v>-695839000</x:v>
      </x:c>
      <x:c r="F23" s="25" t="n">
        <x:f>IFERROR(E23/ABS(D23),0)</x:f>
        <x:v>-0.1451968070178001</x:v>
      </x:c>
      <x:c r="G23" s="22" t="str">
        <x:v>Relatório anual 2025, p. 15</x:v>
      </x:c>
    </x:row>
    <x:row r="24">
      <x:c r="A24" s="22" t="str">
        <x:v>Endividamento líquido ajustado</x:v>
      </x:c>
      <x:c r="B24" s="22" t="str">
        <x:v>Indicador não GAAP</x:v>
      </x:c>
      <x:c r="C24" s="24" t="n">
        <x:v>2211687000</x:v>
      </x:c>
      <x:c r="D24" s="24" t="n">
        <x:v>2342357000</x:v>
      </x:c>
      <x:c r="E24" s="24" t="n">
        <x:f>C24-D24</x:f>
        <x:v>-130670000</x:v>
      </x:c>
      <x:c r="F24" s="25" t="n">
        <x:f>IFERROR(E24/ABS(D24),0)</x:f>
        <x:v>-0.0557856893718592</x:v>
      </x:c>
      <x:c r="G24" s="22" t="str">
        <x:v>Relatório anual 2025, p. 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28" customHeight="1">
      <x:c r="A1" s="4" t="str">
        <x:v>Indicadores financeiros</x:v>
      </x:c>
      <x:c r="B1" s="4"/>
      <x:c r="C1" s="4"/>
      <x:c r="D1" s="4"/>
      <x:c r="E1" s="4"/>
    </x:row>
    <x:row r="2">
      <x:c r="A2" s="5" t="str">
        <x:v>Comparação de 2025 com 2024</x:v>
      </x:c>
      <x:c r="B2" s="5"/>
      <x:c r="C2" s="5"/>
      <x:c r="D2" s="5"/>
      <x:c r="E2" s="5"/>
    </x:row>
    <x:row r="3">
      <x:c r="A3" s="36"/>
      <x:c r="B3" s="36"/>
      <x:c r="C3" s="36"/>
      <x:c r="D3" s="36"/>
      <x:c r="E3" s="36"/>
    </x:row>
    <x:row r="4" ht="30" customHeight="1">
      <x:c r="A4" s="19" t="str">
        <x:v>Indicador</x:v>
      </x:c>
      <x:c r="B4" s="19" t="str">
        <x:v>2025</x:v>
      </x:c>
      <x:c r="C4" s="19" t="str">
        <x:v>2024</x:v>
      </x:c>
      <x:c r="D4" s="19" t="str">
        <x:v>Variação</x:v>
      </x:c>
      <x:c r="E4" s="19" t="str">
        <x:v>Unidade</x:v>
      </x:c>
    </x:row>
    <x:row r="5">
      <x:c r="A5" s="22" t="str">
        <x:v>Liquidez corrente</x:v>
      </x:c>
      <x:c r="B5" s="27" t="n">
        <x:v>2.3991524175866292</x:v>
      </x:c>
      <x:c r="C5" s="27" t="n">
        <x:v>2.2000923637965766</x:v>
      </x:c>
      <x:c r="D5" s="27" t="n">
        <x:v>0.19906005379005265</x:v>
      </x:c>
      <x:c r="E5" s="22" t="str">
        <x:v>vezes</x:v>
      </x:c>
    </x:row>
    <x:row r="6">
      <x:c r="A6" s="22" t="str">
        <x:v>Liquidez seca</x:v>
      </x:c>
      <x:c r="B6" s="27" t="n">
        <x:v>1.7044850059403385</x:v>
      </x:c>
      <x:c r="C6" s="27" t="n">
        <x:v>1.5519816192505969</x:v>
      </x:c>
      <x:c r="D6" s="27" t="n">
        <x:v>0.15250338668974162</x:v>
      </x:c>
      <x:c r="E6" s="22" t="str">
        <x:v>vezes</x:v>
      </x:c>
    </x:row>
    <x:row r="7">
      <x:c r="A7" s="22" t="str">
        <x:v>Caixa sobre passivo circulante</x:v>
      </x:c>
      <x:c r="B7" s="27" t="n">
        <x:v>0.7475975415672408</x:v>
      </x:c>
      <x:c r="C7" s="27" t="n">
        <x:v>0.7007507360055725</x:v>
      </x:c>
      <x:c r="D7" s="27" t="n">
        <x:v>0.046846805561668314</x:v>
      </x:c>
      <x:c r="E7" s="22" t="str">
        <x:v>vezes</x:v>
      </x:c>
    </x:row>
    <x:row r="8">
      <x:c r="A8" s="22" t="str">
        <x:v>Passivos sobre ativos</x:v>
      </x:c>
      <x:c r="B8" s="25" t="n">
        <x:v>0.732381593376493</x:v>
      </x:c>
      <x:c r="C8" s="25" t="n">
        <x:v>0.6959961212291381</x:v>
      </x:c>
      <x:c r="D8" s="25" t="n">
        <x:v>0.03638547214735488</x:v>
      </x:c>
      <x:c r="E8" s="22" t="str">
        <x:v>%</x:v>
      </x:c>
    </x:row>
    <x:row r="9">
      <x:c r="A9" s="22" t="str">
        <x:v>Imobilizado sobre ativos</x:v>
      </x:c>
      <x:c r="B9" s="25" t="n">
        <x:v>0.26887281998960566</x:v>
      </x:c>
      <x:c r="C9" s="25" t="n">
        <x:v>0.2554761532649637</x:v>
      </x:c>
      <x:c r="D9" s="25" t="n">
        <x:v>0.013396666724641959</x:v>
      </x:c>
      <x:c r="E9" s="22" t="str">
        <x:v>%</x:v>
      </x:c>
    </x:row>
    <x:row r="10">
      <x:c r="A10" s="22" t="str">
        <x:v>Margem bruta</x:v>
      </x:c>
      <x:c r="B10" s="25" t="n">
        <x:v>0.12618978250992371</x:v>
      </x:c>
      <x:c r="C10" s="25" t="n">
        <x:v>0.18064426902301053</x:v>
      </x:c>
      <x:c r="D10" s="25" t="n">
        <x:v>-0.05445448651308682</x:v>
      </x:c>
      <x:c r="E10" s="22" t="str">
        <x:v>%</x:v>
      </x:c>
    </x:row>
    <x:row r="11">
      <x:c r="A11" s="22" t="str">
        <x:v>Margem operacional antes do financeiro e tributos</x:v>
      </x:c>
      <x:c r="B11" s="25" t="n">
        <x:v>-0.016143798563656796</x:v>
      </x:c>
      <x:c r="C11" s="25" t="n">
        <x:v>0.052476439530393965</x:v>
      </x:c>
      <x:c r="D11" s="25" t="n">
        <x:v>-0.06862023809405077</x:v>
      </x:c>
      <x:c r="E11" s="22" t="str">
        <x:v>%</x:v>
      </x:c>
    </x:row>
    <x:row r="12">
      <x:c r="A12" s="22" t="str">
        <x:v>Margem líquida</x:v>
      </x:c>
      <x:c r="B12" s="25" t="n">
        <x:v>-0.06752868167661685</x:v>
      </x:c>
      <x:c r="C12" s="25" t="n">
        <x:v>0.007729878079082166</x:v>
      </x:c>
      <x:c r="D12" s="25" t="n">
        <x:v>-0.07525855975569902</x:v>
      </x:c>
      <x:c r="E12" s="22" t="str">
        <x:v>%</x:v>
      </x:c>
    </x:row>
    <x:row r="13">
      <x:c r="A13" s="22" t="str">
        <x:v>Caixa operacional sobre receita</x:v>
      </x:c>
      <x:c r="B13" s="25" t="n">
        <x:v>0.09441265959540895</x:v>
      </x:c>
      <x:c r="C13" s="25" t="n">
        <x:v>0.12690830193031297</x:v>
      </x:c>
      <x:c r="D13" s="25" t="n">
        <x:v>-0.03249564233490401</x:v>
      </x:c>
      <x:c r="E13" s="22" t="str">
        <x:v>%</x:v>
      </x:c>
    </x:row>
    <x:row r="14">
      <x:c r="A14" s="22" t="str">
        <x:v>Dívida líquida sobre EBITDA ajustado</x:v>
      </x:c>
      <x:c r="B14" s="27" t="n">
        <x:v>3.35</x:v>
      </x:c>
      <x:c r="C14" s="27" t="n">
        <x:v>1.81</x:v>
      </x:c>
      <x:c r="D14" s="27" t="n">
        <x:v>1.54</x:v>
      </x:c>
      <x:c r="E14" s="22" t="str">
        <x:v>vezes (indicador divulgado)</x:v>
      </x:c>
    </x:row>
    <x:row r="15">
      <x:c r="A15" s="22" t="str">
        <x:v>Dívida bruta sobre EBITDA ajustado</x:v>
      </x:c>
      <x:c r="B15" s="27" t="n">
        <x:v>6.2</x:v>
      </x:c>
      <x:c r="C15" s="27" t="n">
        <x:v>3.7</x:v>
      </x:c>
      <x:c r="D15" s="27" t="n">
        <x:v>2.5</x:v>
      </x:c>
      <x:c r="E15" s="22" t="str">
        <x:v>vezes (indicador divulgado)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44" hidden="0" customWidth="1"/>
    <x:col min="3" max="3" width="23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28" hidden="0" customWidth="1"/>
    <x:col min="10" max="10" width="55" hidden="0" customWidth="1"/>
    <x:col min="11" max="11" width="24" hidden="0" customWidth="1"/>
  </x:cols>
  <x:sheetData>
    <x:row r="1" ht="28" customHeight="1">
      <x:c r="A1" s="4" t="str">
        <x:v>Matriz de riscos de auditoria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5" t="str">
        <x:v>Avaliação acadêmica; não representa achados ou ratings da companhia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</x:row>
    <x:row r="4" ht="30" customHeight="1">
      <x:c r="A4" s="19" t="str">
        <x:v>ID</x:v>
      </x:c>
      <x:c r="B4" s="19" t="str">
        <x:v>Risco</x:v>
      </x:c>
      <x:c r="C4" s="19" t="str">
        <x:v>Conta/ciclo</x:v>
      </x:c>
      <x:c r="D4" s="19" t="str">
        <x:v>Impacto</x:v>
      </x:c>
      <x:c r="E4" s="19" t="str">
        <x:v>Probabilidade</x:v>
      </x:c>
      <x:c r="F4" s="19" t="str">
        <x:v>Escore</x:v>
      </x:c>
      <x:c r="G4" s="19" t="str">
        <x:v>Nível</x:v>
      </x:c>
      <x:c r="H4" s="19" t="str">
        <x:v>Significativo</x:v>
      </x:c>
      <x:c r="I4" s="19" t="str">
        <x:v>Assertivas</x:v>
      </x:c>
      <x:c r="J4" s="19" t="str">
        <x:v>Resposta</x:v>
      </x:c>
      <x:c r="K4" s="19" t="str">
        <x:v>Normas</x:v>
      </x:c>
    </x:row>
    <x:row r="5">
      <x:c r="A5" s="22" t="str">
        <x:v>R01</x:v>
      </x:c>
      <x:c r="B5" s="26" t="str">
        <x:v>Imobilizado: impairment da UGC Betim e depreciação</x:v>
      </x:c>
      <x:c r="C5" s="26" t="str">
        <x:v>Ativo imobilizado</x:v>
      </x:c>
      <x:c r="D5" s="22" t="n">
        <x:v>5</x:v>
      </x:c>
      <x:c r="E5" s="22" t="n">
        <x:v>5</x:v>
      </x:c>
      <x:c r="F5" s="22" t="n">
        <x:v>25</x:v>
      </x:c>
      <x:c r="G5" s="22" t="str">
        <x:v>Crítico</x:v>
      </x:c>
      <x:c r="H5" s="26" t="str">
        <x:v>SIM</x:v>
      </x:c>
      <x:c r="I5" s="26" t="str">
        <x:v>Avaliação/alocação; apresentação</x:v>
      </x:c>
      <x:c r="J5" s="26" t="str">
        <x:v>Especialista; recálculo; sensibilidade; teste de dados; inspeção documental e física planejada</x:v>
      </x:c>
      <x:c r="K5" s="26" t="str">
        <x:v>NBC TA 315/330/540; CPC 01/CPC 27</x:v>
      </x:c>
    </x:row>
    <x:row r="6">
      <x:c r="A6" s="22" t="str">
        <x:v>R02</x:v>
      </x:c>
      <x:c r="B6" s="26" t="str">
        <x:v>Realização de ativos fiscais diferidos</x:v>
      </x:c>
      <x:c r="C6" s="26" t="str">
        <x:v>Tributos diferidos</x:v>
      </x:c>
      <x:c r="D6" s="22" t="n">
        <x:v>5</x:v>
      </x:c>
      <x:c r="E6" s="22" t="n">
        <x:v>4</x:v>
      </x:c>
      <x:c r="F6" s="22" t="n">
        <x:v>20</x:v>
      </x:c>
      <x:c r="G6" s="22" t="str">
        <x:v>Crítico</x:v>
      </x:c>
      <x:c r="H6" s="26" t="str">
        <x:v>SIM</x:v>
      </x:c>
      <x:c r="I6" s="26" t="str">
        <x:v>Avaliação; apresentação</x:v>
      </x:c>
      <x:c r="J6" s="26" t="str">
        <x:v>Testar orçamento aprovado, premissas, histórico de acurácia, prazo de uso e divulgações</x:v>
      </x:c>
      <x:c r="K6" s="26" t="str">
        <x:v>NBC TA 315/330/540</x:v>
      </x:c>
    </x:row>
    <x:row r="7">
      <x:c r="A7" s="22" t="str">
        <x:v>R03</x:v>
      </x:c>
      <x:c r="B7" s="26" t="str">
        <x:v>Reconhecimento de receita e corte</x:v>
      </x:c>
      <x:c r="C7" s="26" t="str">
        <x:v>Receitas e contas a receber</x:v>
      </x:c>
      <x:c r="D7" s="22" t="n">
        <x:v>5</x:v>
      </x:c>
      <x:c r="E7" s="22" t="n">
        <x:v>4</x:v>
      </x:c>
      <x:c r="F7" s="22" t="n">
        <x:v>20</x:v>
      </x:c>
      <x:c r="G7" s="22" t="str">
        <x:v>Crítico</x:v>
      </x:c>
      <x:c r="H7" s="26" t="str">
        <x:v>SIM</x:v>
      </x:c>
      <x:c r="I7" s="26" t="str">
        <x:v>Ocorrência; corte; exatidão</x:v>
      </x:c>
      <x:c r="J7" s="26" t="str">
        <x:v>Testes de corte, contratos, notas fiscais, recebimentos subsequentes, analíticos e lançamentos manuais</x:v>
      </x:c>
      <x:c r="K7" s="26" t="str">
        <x:v>NBC TA 240/315/330/500</x:v>
      </x:c>
    </x:row>
    <x:row r="8">
      <x:c r="A8" s="22" t="str">
        <x:v>R04</x:v>
      </x:c>
      <x:c r="B8" s="26" t="str">
        <x:v>Existência e avaliação de estoques</x:v>
      </x:c>
      <x:c r="C8" s="26" t="str">
        <x:v>Estoques e CPV</x:v>
      </x:c>
      <x:c r="D8" s="22" t="n">
        <x:v>4</x:v>
      </x:c>
      <x:c r="E8" s="22" t="n">
        <x:v>4</x:v>
      </x:c>
      <x:c r="F8" s="22" t="n">
        <x:v>16</x:v>
      </x:c>
      <x:c r="G8" s="22" t="str">
        <x:v>Alto</x:v>
      </x:c>
      <x:c r="H8" s="26" t="str">
        <x:v>SIM</x:v>
      </x:c>
      <x:c r="I8" s="26" t="str">
        <x:v>Existência; avaliação; direitos</x:v>
      </x:c>
      <x:c r="J8" s="26" t="str">
        <x:v>Observação física planejada, custo padrão versus real, obsolescência, corte e conciliação</x:v>
      </x:c>
      <x:c r="K8" s="26" t="str">
        <x:v>NBC TA 501/330/540</x:v>
      </x:c>
    </x:row>
    <x:row r="9">
      <x:c r="A9" s="22" t="str">
        <x:v>R05</x:v>
      </x:c>
      <x:c r="B9" s="26" t="str">
        <x:v>Liquidez, covenants, classificação e continuidade</x:v>
      </x:c>
      <x:c r="C9" s="26" t="str">
        <x:v>Dívidas e divulgações</x:v>
      </x:c>
      <x:c r="D9" s="22" t="n">
        <x:v>5</x:v>
      </x:c>
      <x:c r="E9" s="22" t="n">
        <x:v>4</x:v>
      </x:c>
      <x:c r="F9" s="22" t="n">
        <x:v>20</x:v>
      </x:c>
      <x:c r="G9" s="22" t="str">
        <x:v>Crítico</x:v>
      </x:c>
      <x:c r="H9" s="26" t="str">
        <x:v>SIM</x:v>
      </x:c>
      <x:c r="I9" s="26" t="str">
        <x:v>Classificação; completude; apresentação</x:v>
      </x:c>
      <x:c r="J9" s="26" t="str">
        <x:v>Inspecionar contratos/waivers, confirmar bancos, recalcular covenants e testar fluxo de caixa</x:v>
      </x:c>
      <x:c r="K9" s="26" t="str">
        <x:v>NBC TA 570/505/560</x:v>
      </x:c>
    </x:row>
    <x:row r="10">
      <x:c r="A10" s="22" t="str">
        <x:v>R06</x:v>
      </x:c>
      <x:c r="B10" s="26" t="str">
        <x:v>Burla de controles pela administração</x:v>
      </x:c>
      <x:c r="C10" s="26" t="str">
        <x:v>Todas as contas</x:v>
      </x:c>
      <x:c r="D10" s="22" t="n">
        <x:v>5</x:v>
      </x:c>
      <x:c r="E10" s="22" t="n">
        <x:v>5</x:v>
      </x:c>
      <x:c r="F10" s="22" t="n">
        <x:v>25</x:v>
      </x:c>
      <x:c r="G10" s="22" t="str">
        <x:v>Crítico</x:v>
      </x:c>
      <x:c r="H10" s="26" t="str">
        <x:v>SIM</x:v>
      </x:c>
      <x:c r="I10" s="26" t="str">
        <x:v>Todas, sobretudo ocorrência e classificação</x:v>
      </x:c>
      <x:c r="J10" s="26" t="str">
        <x:v>Testar lançamentos, estimativas tendenciosas e transações fora do curso normal</x:v>
      </x:c>
      <x:c r="K10" s="26" t="str">
        <x:v>NBC TA 240</x:v>
      </x:c>
    </x:row>
    <x:row r="11">
      <x:c r="A11" s="22" t="str">
        <x:v>R07</x:v>
      </x:c>
      <x:c r="B11" s="26" t="str">
        <x:v>Conversão cambial e consolidação internacional</x:v>
      </x:c>
      <x:c r="C11" s="26" t="str">
        <x:v>Consolidação e ORA</x:v>
      </x:c>
      <x:c r="D11" s="22" t="n">
        <x:v>4</x:v>
      </x:c>
      <x:c r="E11" s="22" t="n">
        <x:v>4</x:v>
      </x:c>
      <x:c r="F11" s="22" t="n">
        <x:v>16</x:v>
      </x:c>
      <x:c r="G11" s="22" t="str">
        <x:v>Alto</x:v>
      </x:c>
      <x:c r="H11" s="26" t="str">
        <x:v>SIM</x:v>
      </x:c>
      <x:c r="I11" s="26" t="str">
        <x:v>Exatidão; completude; apresentação</x:v>
      </x:c>
      <x:c r="J11" s="26" t="str">
        <x:v>Recalcular conversão, testar eliminações, pacotes de reporte e instruções a componentes</x:v>
      </x:c>
      <x:c r="K11" s="26" t="str">
        <x:v>NBC TA 315/600</x:v>
      </x:c>
    </x:row>
    <x:row r="12">
      <x:c r="A12" s="22" t="str">
        <x:v>R08</x:v>
      </x:c>
      <x:c r="B12" s="26" t="str">
        <x:v>Provisões e passivos contingentes</x:v>
      </x:c>
      <x:c r="C12" s="26" t="str">
        <x:v>Provisões</x:v>
      </x:c>
      <x:c r="D12" s="22" t="n">
        <x:v>4</x:v>
      </x:c>
      <x:c r="E12" s="22" t="n">
        <x:v>4</x:v>
      </x:c>
      <x:c r="F12" s="22" t="n">
        <x:v>16</x:v>
      </x:c>
      <x:c r="G12" s="22" t="str">
        <x:v>Alto</x:v>
      </x:c>
      <x:c r="H12" s="26" t="str">
        <x:v>SIM</x:v>
      </x:c>
      <x:c r="I12" s="26" t="str">
        <x:v>Completude; avaliação; apresentação</x:v>
      </x:c>
      <x:c r="J12" s="26" t="str">
        <x:v>Cartas a assessores jurídicos, atas, pagamentos subsequentes e avaliação de probabilidade</x:v>
      </x:c>
      <x:c r="K12" s="26" t="str">
        <x:v>NBC TA 501/505/540</x:v>
      </x:c>
    </x:row>
    <x:row r="13">
      <x:c r="A13" s="22" t="str">
        <x:v>R09</x:v>
      </x:c>
      <x:c r="B13" s="26" t="str">
        <x:v>Integridade de sistemas e organizações de serviços</x:v>
      </x:c>
      <x:c r="C13" s="26" t="str">
        <x:v>Processamento contábil</x:v>
      </x:c>
      <x:c r="D13" s="22" t="n">
        <x:v>3</x:v>
      </x:c>
      <x:c r="E13" s="22" t="n">
        <x:v>4</x:v>
      </x:c>
      <x:c r="F13" s="22" t="n">
        <x:v>12</x:v>
      </x:c>
      <x:c r="G13" s="22" t="str">
        <x:v>Moderado</x:v>
      </x:c>
      <x:c r="H13" s="26" t="str">
        <x:v>NAO</x:v>
      </x:c>
      <x:c r="I13" s="26" t="str">
        <x:v>Completude; exatidão</x:v>
      </x:c>
      <x:c r="J13" s="26" t="str">
        <x:v>Entender interfaces, acessos e mudanças; obter relatório tipo 2 quando aplicável</x:v>
      </x:c>
      <x:c r="K13" s="26" t="str">
        <x:v>NBC TA 315/402</x:v>
      </x:c>
    </x:row>
    <x:row r="14">
      <x:c r="A14" s="22" t="str">
        <x:v>R10</x:v>
      </x:c>
      <x:c r="B14" s="26" t="str">
        <x:v>Partes relacionadas e transações não usuais</x:v>
      </x:c>
      <x:c r="C14" s="26" t="str">
        <x:v>Partes relacionadas</x:v>
      </x:c>
      <x:c r="D14" s="22" t="n">
        <x:v>3</x:v>
      </x:c>
      <x:c r="E14" s="22" t="n">
        <x:v>4</x:v>
      </x:c>
      <x:c r="F14" s="22" t="n">
        <x:v>12</x:v>
      </x:c>
      <x:c r="G14" s="22" t="str">
        <x:v>Moderado</x:v>
      </x:c>
      <x:c r="H14" s="26" t="str">
        <x:v>NAO</x:v>
      </x:c>
      <x:c r="I14" s="26" t="str">
        <x:v>Completude; apresentação; ocorrência</x:v>
      </x:c>
      <x:c r="J14" s="26" t="str">
        <x:v>Pesquisar atas/cadastros, conciliar saldos, revisar termos e obter representação formal</x:v>
      </x:c>
      <x:c r="K14" s="26" t="str">
        <x:v>NBC TA 550/580</x:v>
      </x:c>
    </x:row>
    <x:row r="15">
      <x:c r="A15" s="22" t="str">
        <x:v>R11</x:v>
      </x:c>
      <x:c r="B15" s="26" t="str">
        <x:v>Benefícios a empregados e folha</x:v>
      </x:c>
      <x:c r="C15" s="26" t="str">
        <x:v>Salários e benefícios</x:v>
      </x:c>
      <x:c r="D15" s="22" t="n">
        <x:v>3</x:v>
      </x:c>
      <x:c r="E15" s="22" t="n">
        <x:v>4</x:v>
      </x:c>
      <x:c r="F15" s="22" t="n">
        <x:v>12</x:v>
      </x:c>
      <x:c r="G15" s="22" t="str">
        <x:v>Moderado</x:v>
      </x:c>
      <x:c r="H15" s="26" t="str">
        <x:v>NAO</x:v>
      </x:c>
      <x:c r="I15" s="26" t="str">
        <x:v>Completude; avaliação; corte</x:v>
      </x:c>
      <x:c r="J15" s="26" t="str">
        <x:v>Recalcular amostra, testar premissas atuariais, elegibilidade, folha e encargos</x:v>
      </x:c>
      <x:c r="K15" s="26" t="str">
        <x:v>NBC TA 540/500</x:v>
      </x:c>
    </x:row>
    <x:row r="16">
      <x:c r="A16" s="22" t="str">
        <x:v>R12</x:v>
      </x:c>
      <x:c r="B16" s="26" t="str">
        <x:v>Caixa, derivativos e dívida</x:v>
      </x:c>
      <x:c r="C16" s="26" t="str">
        <x:v>Instrumentos financeiros</x:v>
      </x:c>
      <x:c r="D16" s="22" t="n">
        <x:v>3</x:v>
      </x:c>
      <x:c r="E16" s="22" t="n">
        <x:v>4</x:v>
      </x:c>
      <x:c r="F16" s="22" t="n">
        <x:v>12</x:v>
      </x:c>
      <x:c r="G16" s="22" t="str">
        <x:v>Moderado</x:v>
      </x:c>
      <x:c r="H16" s="26" t="str">
        <x:v>NAO</x:v>
      </x:c>
      <x:c r="I16" s="26" t="str">
        <x:v>Existência; direitos; avaliação</x:v>
      </x:c>
      <x:c r="J16" s="26" t="str">
        <x:v>Confirmações externas, conciliações, valorização independente e revisão de hedge</x:v>
      </x:c>
      <x:c r="K16" s="26" t="str">
        <x:v>NBC TA 505/540</x:v>
      </x:c>
    </x:row>
  </x:sheetData>
  <x:conditionalFormatting sqref="F5:F16">
    <x:cfRule type="cellIs" dxfId="0" priority="1" operator="greaterThanOrEqual">
      <x:formula>20</x:formula>
    </x:cfRule>
    <x:cfRule type="cellIs" dxfId="1" priority="2" operator="between">
      <x:formula>15</x:formula>
      <x:formula>19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8" hidden="0" customWidth="1"/>
    <x:col min="3" max="3" width="42" hidden="0" customWidth="1"/>
    <x:col min="4" max="4" width="14" hidden="0" customWidth="1"/>
    <x:col min="5" max="5" width="62" hidden="0" customWidth="1"/>
    <x:col min="6" max="6" width="36" hidden="0" customWidth="1"/>
    <x:col min="7" max="7" width="13" hidden="0" customWidth="1"/>
  </x:cols>
  <x:sheetData>
    <x:row r="1" ht="28" customHeight="1">
      <x:c r="A1" s="4" t="str">
        <x:v>Ciclos de auditoria</x:v>
      </x:c>
      <x:c r="B1" s="4"/>
      <x:c r="C1" s="4"/>
      <x:c r="D1" s="4"/>
      <x:c r="E1" s="4"/>
      <x:c r="F1" s="4"/>
      <x:c r="G1" s="4"/>
    </x:row>
    <x:row r="2">
      <x:c r="A2" s="5" t="str">
        <x:v>Transações, riscos, controles e assertivas</x:v>
      </x:c>
      <x:c r="B2" s="5"/>
      <x:c r="C2" s="5"/>
      <x:c r="D2" s="5"/>
      <x:c r="E2" s="5"/>
      <x:c r="F2" s="5"/>
      <x:c r="G2" s="5"/>
    </x:row>
    <x:row r="3">
      <x:c r="A3" s="36"/>
      <x:c r="B3" s="36"/>
      <x:c r="C3" s="36"/>
      <x:c r="D3" s="36"/>
      <x:c r="E3" s="36"/>
      <x:c r="F3" s="36"/>
      <x:c r="G3" s="36"/>
    </x:row>
    <x:row r="4" ht="30" customHeight="1">
      <x:c r="A4" s="19" t="str">
        <x:v>ID</x:v>
      </x:c>
      <x:c r="B4" s="19" t="str">
        <x:v>Ciclo</x:v>
      </x:c>
      <x:c r="C4" s="19" t="str">
        <x:v>Transações e saldos</x:v>
      </x:c>
      <x:c r="D4" s="19" t="str">
        <x:v>Riscos</x:v>
      </x:c>
      <x:c r="E4" s="19" t="str">
        <x:v>Controles-chave</x:v>
      </x:c>
      <x:c r="F4" s="19" t="str">
        <x:v>Assertivas</x:v>
      </x:c>
      <x:c r="G4" s="19" t="str">
        <x:v>Prioridade</x:v>
      </x:c>
    </x:row>
    <x:row r="5">
      <x:c r="A5" s="22" t="str">
        <x:v>C01</x:v>
      </x:c>
      <x:c r="B5" s="26" t="str">
        <x:v>Imobilizado, CAPEX, depreciação e impairment</x:v>
      </x:c>
      <x:c r="C5" s="26" t="str">
        <x:v>Imobilizado; adições; depreciação; impairment; garantias</x:v>
      </x:c>
      <x:c r="D5" s="26" t="str">
        <x:v>R01; R05</x:v>
      </x:c>
      <x:c r="E5" s="26" t="str">
        <x:v>Aprovação de CAPEX; segregação compra/recebimento/capitalização; inventário físico; revisão de vida útil; teste de impairment</x:v>
      </x:c>
      <x:c r="F5" s="26" t="str">
        <x:v>Existência; direitos; avaliação; corte; apresentação</x:v>
      </x:c>
      <x:c r="G5" s="22" t="str">
        <x:v>Crítica</x:v>
      </x:c>
    </x:row>
    <x:row r="6">
      <x:c r="A6" s="22" t="str">
        <x:v>C02</x:v>
      </x:c>
      <x:c r="B6" s="26" t="str">
        <x:v>Receitas, clientes e recebimentos</x:v>
      </x:c>
      <x:c r="C6" s="26" t="str">
        <x:v>Receita; contas a receber; adiantamentos; perdas esperadas</x:v>
      </x:c>
      <x:c r="D6" s="26" t="str">
        <x:v>R03</x:v>
      </x:c>
      <x:c r="E6" s="26" t="str">
        <x:v>Cadastro e crédito; pedido-entrega-faturamento; bloqueios; conciliação de recebimentos; aprovação de notas manuais</x:v>
      </x:c>
      <x:c r="F6" s="26" t="str">
        <x:v>Ocorrência; corte; exatidão; existência</x:v>
      </x:c>
      <x:c r="G6" s="22" t="str">
        <x:v>Crítica</x:v>
      </x:c>
    </x:row>
    <x:row r="7">
      <x:c r="A7" s="22" t="str">
        <x:v>C03</x:v>
      </x:c>
      <x:c r="B7" s="26" t="str">
        <x:v>Produção, estoques e custo</x:v>
      </x:c>
      <x:c r="C7" s="26" t="str">
        <x:v>Matéria-prima; produtos; CPV; obsolescência; ferramental</x:v>
      </x:c>
      <x:c r="D7" s="26" t="str">
        <x:v>R04</x:v>
      </x:c>
      <x:c r="E7" s="26" t="str">
        <x:v>Inventário cíclico; fechamento de ordens; custo padrão; análise de variações; provisão de obsolescência</x:v>
      </x:c>
      <x:c r="F7" s="26" t="str">
        <x:v>Existência; avaliação; completude; direitos</x:v>
      </x:c>
      <x:c r="G7" s="22" t="str">
        <x:v>Alta</x:v>
      </x:c>
    </x:row>
    <x:row r="8">
      <x:c r="A8" s="22" t="str">
        <x:v>C04</x:v>
      </x:c>
      <x:c r="B8" s="26" t="str">
        <x:v>Tesouraria, financiamentos e derivativos</x:v>
      </x:c>
      <x:c r="C8" s="26" t="str">
        <x:v>Caixa; aplicações; empréstimos; debêntures; juros; derivativos</x:v>
      </x:c>
      <x:c r="D8" s="26" t="str">
        <x:v>R05; R12</x:v>
      </x:c>
      <x:c r="E8" s="26" t="str">
        <x:v>Conciliação bancária; dupla aprovação; limites; monitoramento de covenants; valorização independente</x:v>
      </x:c>
      <x:c r="F8" s="26" t="str">
        <x:v>Existência; direitos; avaliação; completude; apresentação</x:v>
      </x:c>
      <x:c r="G8" s="22" t="str">
        <x:v>Crítica</x:v>
      </x:c>
    </x:row>
    <x:row r="9">
      <x:c r="A9" s="22" t="str">
        <x:v>C05</x:v>
      </x:c>
      <x:c r="B9" s="26" t="str">
        <x:v>Tributos correntes e diferidos</x:v>
      </x:c>
      <x:c r="C9" s="26" t="str">
        <x:v>Tributos a recuperar/pagar; IR/CS; ativo fiscal diferido</x:v>
      </x:c>
      <x:c r="D9" s="26" t="str">
        <x:v>R02</x:v>
      </x:c>
      <x:c r="E9" s="26" t="str">
        <x:v>Revisão fiscal; conciliação ECF; aprovação de projeções; rastreamento de créditos</x:v>
      </x:c>
      <x:c r="F9" s="26" t="str">
        <x:v>Avaliação; completude; apresentação</x:v>
      </x:c>
      <x:c r="G9" s="22" t="str">
        <x:v>Crítica</x:v>
      </x:c>
    </x:row>
    <x:row r="10">
      <x:c r="A10" s="22" t="str">
        <x:v>C06</x:v>
      </x:c>
      <x:c r="B10" s="26" t="str">
        <x:v>Jurídico, provisões e contingências</x:v>
      </x:c>
      <x:c r="C10" s="26" t="str">
        <x:v>Provisões tributárias, cíveis, previdenciárias e trabalhistas</x:v>
      </x:c>
      <x:c r="D10" s="26" t="str">
        <x:v>R08</x:v>
      </x:c>
      <x:c r="E10" s="26" t="str">
        <x:v>Cadastro jurídico; conciliação jurídico-contábil; revisão por probabilidade; governança de acordos</x:v>
      </x:c>
      <x:c r="F10" s="26" t="str">
        <x:v>Completude; avaliação; apresentação</x:v>
      </x:c>
      <x:c r="G10" s="22" t="str">
        <x:v>Alta</x:v>
      </x:c>
    </x:row>
    <x:row r="11">
      <x:c r="A11" s="22" t="str">
        <x:v>C07</x:v>
      </x:c>
      <x:c r="B11" s="26" t="str">
        <x:v>Pessoal e benefícios</x:v>
      </x:c>
      <x:c r="C11" s="26" t="str">
        <x:v>Folha; encargos; participação; aposentadoria e saúde</x:v>
      </x:c>
      <x:c r="D11" s="26" t="str">
        <x:v>R11</x:v>
      </x:c>
      <x:c r="E11" s="26" t="str">
        <x:v>Integração RH-folha; aprovação de alterações; conciliação de encargos; revisão atuarial</x:v>
      </x:c>
      <x:c r="F11" s="26" t="str">
        <x:v>Ocorrência; completude; avaliação; corte</x:v>
      </x:c>
      <x:c r="G11" s="22" t="str">
        <x:v>Alta</x:v>
      </x:c>
    </x:row>
    <x:row r="12">
      <x:c r="A12" s="22" t="str">
        <x:v>C08</x:v>
      </x:c>
      <x:c r="B12" s="26" t="str">
        <x:v>Compras, fornecedores e pagamentos</x:v>
      </x:c>
      <x:c r="C12" s="26" t="str">
        <x:v>Compras; fornecedores; títulos a pagar</x:v>
      </x:c>
      <x:c r="D12" s="26" t="str">
        <x:v>R06</x:v>
      </x:c>
      <x:c r="E12" s="26" t="str">
        <x:v>Alçadas; três documentos; segregação; cadastro de fornecedores; dupla aprovação de pagamento</x:v>
      </x:c>
      <x:c r="F12" s="26" t="str">
        <x:v>Completude; ocorrência; corte; classificação</x:v>
      </x:c>
      <x:c r="G12" s="22" t="str">
        <x:v>Alta</x:v>
      </x:c>
    </x:row>
    <x:row r="13">
      <x:c r="A13" s="22" t="str">
        <x:v>C09</x:v>
      </x:c>
      <x:c r="B13" s="26" t="str">
        <x:v>Consolidação e operações no exterior</x:v>
      </x:c>
      <x:c r="C13" s="26" t="str">
        <x:v>Pacotes; conversão; eliminações; participação de não controladores</x:v>
      </x:c>
      <x:c r="D13" s="26" t="str">
        <x:v>R07</x:v>
      </x:c>
      <x:c r="E13" s="26" t="str">
        <x:v>Plano de contas uniforme; validações do pacote; taxas aprovadas; eliminações e revisão central</x:v>
      </x:c>
      <x:c r="F13" s="26" t="str">
        <x:v>Completude; exatidão; apresentação</x:v>
      </x:c>
      <x:c r="G13" s="22" t="str">
        <x:v>Crítica</x:v>
      </x:c>
    </x:row>
    <x:row r="14">
      <x:c r="A14" s="22" t="str">
        <x:v>C10</x:v>
      </x:c>
      <x:c r="B14" s="26" t="str">
        <x:v>Partes relacionadas, investimentos e patrimônio líquido</x:v>
      </x:c>
      <x:c r="C14" s="26" t="str">
        <x:v>Saldos intragrupo; dividendos; capital; ações em tesouraria</x:v>
      </x:c>
      <x:c r="D14" s="26" t="str">
        <x:v>R10</x:v>
      </x:c>
      <x:c r="E14" s="26" t="str">
        <x:v>Cadastro de partes; aprovação por governança; conciliações bilaterais; revisão de divulgações</x:v>
      </x:c>
      <x:c r="F14" s="26" t="str">
        <x:v>Completude; ocorrência; apresentação</x:v>
      </x:c>
      <x:c r="G14" s="22" t="str">
        <x:v>Alta</x:v>
      </x:c>
    </x:row>
    <x:row r="15">
      <x:c r="A15" s="22" t="str">
        <x:v>C11</x:v>
      </x:c>
      <x:c r="B15" s="26" t="str">
        <x:v>Fechamento financeiro, TI e lançamentos</x:v>
      </x:c>
      <x:c r="C15" s="26" t="str">
        <x:v>Razão geral; lançamentos; interfaces; demonstrações e notas</x:v>
      </x:c>
      <x:c r="D15" s="26" t="str">
        <x:v>R06; R09</x:v>
      </x:c>
      <x:c r="E15" s="26" t="str">
        <x:v>Calendário de fechamento; acessos; gestão de mudanças; aprovação de lançamentos; checklist de divulgação</x:v>
      </x:c>
      <x:c r="F15" s="26" t="str">
        <x:v>Todas</x:v>
      </x:c>
      <x:c r="G15" s="22" t="str">
        <x:v>Crítica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8" customHeight="1">
      <x:c r="A1" s="4" t="str">
        <x:v>Conciliação do imobilizado sintético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5" t="str">
        <x:v>Fechamento por classe à Nota 13 da Tupy S.A. em 31/12/2025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30" customHeight="1">
      <x:c r="A4" s="19" t="str">
        <x:v>Classe</x:v>
      </x:c>
      <x:c r="B4" s="19" t="str">
        <x:v>Custo público</x:v>
      </x:c>
      <x:c r="C4" s="19" t="str">
        <x:v>Custo base</x:v>
      </x:c>
      <x:c r="D4" s="19" t="str">
        <x:v>Dif. custo</x:v>
      </x:c>
      <x:c r="E4" s="19" t="str">
        <x:v>Deprec. pública</x:v>
      </x:c>
      <x:c r="F4" s="19" t="str">
        <x:v>Deprec. base</x:v>
      </x:c>
      <x:c r="G4" s="19" t="str">
        <x:v>Dif. deprec.</x:v>
      </x:c>
      <x:c r="H4" s="19" t="str">
        <x:v>Líquido público</x:v>
      </x:c>
      <x:c r="I4" s="19" t="str">
        <x:v>Líquido base</x:v>
      </x:c>
      <x:c r="J4" s="19" t="str">
        <x:v>Dif. líquido</x:v>
      </x:c>
      <x:c r="K4" s="19" t="str">
        <x:v>Adições 2025</x:v>
      </x:c>
      <x:c r="L4" s="19" t="str">
        <x:v>Deprec. 2025</x:v>
      </x:c>
      <x:c r="M4" s="19" t="str">
        <x:v>Impairment 2025</x:v>
      </x:c>
    </x:row>
    <x:row r="5">
      <x:c r="A5" s="22" t="str">
        <x:v>Máquinas, instalações e equipamentos</x:v>
      </x:c>
      <x:c r="B5" s="24" t="n">
        <x:v>6313083000</x:v>
      </x:c>
      <x:c r="C5" s="24" t="n">
        <x:v>6313083000</x:v>
      </x:c>
      <x:c r="D5" s="24" t="n">
        <x:f>C5-B5</x:f>
        <x:v>0</x:v>
      </x:c>
      <x:c r="E5" s="24" t="n">
        <x:v>5296122000</x:v>
      </x:c>
      <x:c r="F5" s="24" t="n">
        <x:v>5296122000</x:v>
      </x:c>
      <x:c r="G5" s="24" t="n">
        <x:f>F5-E5</x:f>
        <x:v>0</x:v>
      </x:c>
      <x:c r="H5" s="24" t="n">
        <x:v>1016961000</x:v>
      </x:c>
      <x:c r="I5" s="24" t="n">
        <x:v>1016961000</x:v>
      </x:c>
      <x:c r="J5" s="24" t="n">
        <x:f>I5-H5</x:f>
        <x:v>0</x:v>
      </x:c>
      <x:c r="K5" s="24" t="n">
        <x:v>327427000</x:v>
      </x:c>
      <x:c r="L5" s="24" t="n">
        <x:v>254864000</x:v>
      </x:c>
      <x:c r="M5" s="24" t="n">
        <x:v>208472000</x:v>
      </x:c>
    </x:row>
    <x:row r="6">
      <x:c r="A6" s="22" t="str">
        <x:v>Edificações</x:v>
      </x:c>
      <x:c r="B6" s="24" t="n">
        <x:v>1649811000</x:v>
      </x:c>
      <x:c r="C6" s="24" t="n">
        <x:v>1649811000</x:v>
      </x:c>
      <x:c r="D6" s="24" t="n">
        <x:f>C6-B6</x:f>
        <x:v>0</x:v>
      </x:c>
      <x:c r="E6" s="24" t="n">
        <x:v>1118646000</x:v>
      </x:c>
      <x:c r="F6" s="24" t="n">
        <x:v>1118646000</x:v>
      </x:c>
      <x:c r="G6" s="24" t="n">
        <x:f>F6-E6</x:f>
        <x:v>0</x:v>
      </x:c>
      <x:c r="H6" s="24" t="n">
        <x:v>531165000</x:v>
      </x:c>
      <x:c r="I6" s="24" t="n">
        <x:v>531165000</x:v>
      </x:c>
      <x:c r="J6" s="24" t="n">
        <x:f>I6-H6</x:f>
        <x:v>0</x:v>
      </x:c>
      <x:c r="K6" s="24" t="n">
        <x:v>32150000</x:v>
      </x:c>
      <x:c r="L6" s="24" t="n">
        <x:v>50350000</x:v>
      </x:c>
      <x:c r="M6" s="24" t="n">
        <x:v>60411000</x:v>
      </x:c>
    </x:row>
    <x:row r="7">
      <x:c r="A7" s="22" t="str">
        <x:v>Terrenos</x:v>
      </x:c>
      <x:c r="B7" s="24" t="n">
        <x:v>360107000</x:v>
      </x:c>
      <x:c r="C7" s="24" t="n">
        <x:v>360107000</x:v>
      </x:c>
      <x:c r="D7" s="24" t="n">
        <x:f>C7-B7</x:f>
        <x:v>0</x:v>
      </x:c>
      <x:c r="E7" s="24" t="n">
        <x:v>0</x:v>
      </x:c>
      <x:c r="F7" s="24" t="n">
        <x:v>0</x:v>
      </x:c>
      <x:c r="G7" s="24" t="n">
        <x:f>F7-E7</x:f>
        <x:v>0</x:v>
      </x:c>
      <x:c r="H7" s="24" t="n">
        <x:v>360107000</x:v>
      </x:c>
      <x:c r="I7" s="24" t="n">
        <x:v>360107000</x:v>
      </x:c>
      <x:c r="J7" s="24" t="n">
        <x:f>I7-H7</x:f>
        <x:v>0</x:v>
      </x:c>
      <x:c r="K7" s="24" t="n">
        <x:v>0</x:v>
      </x:c>
      <x:c r="L7" s="24" t="n">
        <x:v>0</x:v>
      </x:c>
      <x:c r="M7" s="24" t="n">
        <x:v>0</x:v>
      </x:c>
    </x:row>
    <x:row r="8">
      <x:c r="A8" s="22" t="str">
        <x:v>Veículos</x:v>
      </x:c>
      <x:c r="B8" s="24" t="n">
        <x:v>48003000</x:v>
      </x:c>
      <x:c r="C8" s="24" t="n">
        <x:v>48003000</x:v>
      </x:c>
      <x:c r="D8" s="24" t="n">
        <x:f>C8-B8</x:f>
        <x:v>0</x:v>
      </x:c>
      <x:c r="E8" s="24" t="n">
        <x:v>27819000</x:v>
      </x:c>
      <x:c r="F8" s="24" t="n">
        <x:v>27819000</x:v>
      </x:c>
      <x:c r="G8" s="24" t="n">
        <x:f>F8-E8</x:f>
        <x:v>0</x:v>
      </x:c>
      <x:c r="H8" s="24" t="n">
        <x:v>20184000</x:v>
      </x:c>
      <x:c r="I8" s="24" t="n">
        <x:v>20184000</x:v>
      </x:c>
      <x:c r="J8" s="24" t="n">
        <x:f>I8-H8</x:f>
        <x:v>0</x:v>
      </x:c>
      <x:c r="K8" s="24" t="n">
        <x:v>4158000</x:v>
      </x:c>
      <x:c r="L8" s="24" t="n">
        <x:v>4170000</x:v>
      </x:c>
      <x:c r="M8" s="24" t="n">
        <x:v>2036000</x:v>
      </x:c>
    </x:row>
    <x:row r="9">
      <x:c r="A9" s="22" t="str">
        <x:v>Móveis, utensílios e outros</x:v>
      </x:c>
      <x:c r="B9" s="24" t="n">
        <x:v>123303000</x:v>
      </x:c>
      <x:c r="C9" s="24" t="n">
        <x:v>123303000</x:v>
      </x:c>
      <x:c r="D9" s="24" t="n">
        <x:f>C9-B9</x:f>
        <x:v>0</x:v>
      </x:c>
      <x:c r="E9" s="24" t="n">
        <x:v>107095000</x:v>
      </x:c>
      <x:c r="F9" s="24" t="n">
        <x:v>107095000</x:v>
      </x:c>
      <x:c r="G9" s="24" t="n">
        <x:f>F9-E9</x:f>
        <x:v>0</x:v>
      </x:c>
      <x:c r="H9" s="24" t="n">
        <x:v>16208000</x:v>
      </x:c>
      <x:c r="I9" s="24" t="n">
        <x:v>16208000</x:v>
      </x:c>
      <x:c r="J9" s="24" t="n">
        <x:f>I9-H9</x:f>
        <x:v>0</x:v>
      </x:c>
      <x:c r="K9" s="24" t="n">
        <x:v>9269000</x:v>
      </x:c>
      <x:c r="L9" s="24" t="n">
        <x:v>8912000</x:v>
      </x:c>
      <x:c r="M9" s="24" t="n">
        <x:v>10252000</x:v>
      </x:c>
    </x:row>
    <x:row r="10">
      <x:c r="A10" s="22" t="str">
        <x:v>Direito de uso de ativos</x:v>
      </x:c>
      <x:c r="B10" s="24" t="n">
        <x:v>130633000</x:v>
      </x:c>
      <x:c r="C10" s="24" t="n">
        <x:v>130633000</x:v>
      </x:c>
      <x:c r="D10" s="24" t="n">
        <x:f>C10-B10</x:f>
        <x:v>0</x:v>
      </x:c>
      <x:c r="E10" s="24" t="n">
        <x:v>99572000</x:v>
      </x:c>
      <x:c r="F10" s="24" t="n">
        <x:v>99572000</x:v>
      </x:c>
      <x:c r="G10" s="24" t="n">
        <x:f>F10-E10</x:f>
        <x:v>0</x:v>
      </x:c>
      <x:c r="H10" s="24" t="n">
        <x:v>31061000</x:v>
      </x:c>
      <x:c r="I10" s="24" t="n">
        <x:v>31061000</x:v>
      </x:c>
      <x:c r="J10" s="24" t="n">
        <x:f>I10-H10</x:f>
        <x:v>0</x:v>
      </x:c>
      <x:c r="K10" s="24" t="n">
        <x:v>43422000</x:v>
      </x:c>
      <x:c r="L10" s="24" t="n">
        <x:v>40724000</x:v>
      </x:c>
      <x:c r="M10" s="24" t="n">
        <x:v>6564000</x:v>
      </x:c>
    </x:row>
    <x:row r="11">
      <x:c r="A11" s="22" t="str">
        <x:v>Imobilizações em andamento</x:v>
      </x:c>
      <x:c r="B11" s="24" t="n">
        <x:v>549471000</x:v>
      </x:c>
      <x:c r="C11" s="24" t="n">
        <x:v>549471000</x:v>
      </x:c>
      <x:c r="D11" s="24" t="n">
        <x:f>C11-B11</x:f>
        <x:v>0</x:v>
      </x:c>
      <x:c r="E11" s="24" t="n">
        <x:v>0</x:v>
      </x:c>
      <x:c r="F11" s="24" t="n">
        <x:v>0</x:v>
      </x:c>
      <x:c r="G11" s="24" t="n">
        <x:f>F11-E11</x:f>
        <x:v>0</x:v>
      </x:c>
      <x:c r="H11" s="24" t="n">
        <x:v>549471000</x:v>
      </x:c>
      <x:c r="I11" s="24" t="n">
        <x:v>549471000</x:v>
      </x:c>
      <x:c r="J11" s="24" t="n">
        <x:f>I11-H11</x:f>
        <x:v>0</x:v>
      </x:c>
      <x:c r="K11" s="24" t="n">
        <x:v>44984000</x:v>
      </x:c>
      <x:c r="L11" s="24" t="n">
        <x:v>0</x:v>
      </x:c>
      <x:c r="M11" s="24" t="n">
        <x:v>37056000</x:v>
      </x:c>
    </x:row>
    <x:row r="12">
      <x:c r="A12" s="30" t="str">
        <x:v>TOTAL</x:v>
      </x:c>
      <x:c r="B12" s="31" t="n">
        <x:v>9174411000</x:v>
      </x:c>
      <x:c r="C12" s="31" t="n">
        <x:v>9174411000</x:v>
      </x:c>
      <x:c r="D12" s="31" t="n">
        <x:f>C12-B12</x:f>
        <x:v>0</x:v>
      </x:c>
      <x:c r="E12" s="31" t="n">
        <x:v>6649254000</x:v>
      </x:c>
      <x:c r="F12" s="31" t="n">
        <x:v>6649254000</x:v>
      </x:c>
      <x:c r="G12" s="31" t="n">
        <x:f>F12-E12</x:f>
        <x:v>0</x:v>
      </x:c>
      <x:c r="H12" s="31" t="n">
        <x:v>2525157000</x:v>
      </x:c>
      <x:c r="I12" s="31" t="n">
        <x:v>2525157000</x:v>
      </x:c>
      <x:c r="J12" s="31" t="n">
        <x:f>I12-H12</x:f>
        <x:v>0</x:v>
      </x:c>
      <x:c r="K12" s="31" t="n">
        <x:v>461410000</x:v>
      </x:c>
      <x:c r="L12" s="31" t="n">
        <x:v>359020000</x:v>
      </x:c>
      <x:c r="M12" s="31" t="n">
        <x:v>324791000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28" hidden="0" customWidth="1"/>
  </x:cols>
  <x:sheetData>
    <x:row r="1" ht="28" customHeight="1">
      <x:c r="A1" s="4" t="str">
        <x:v>Testes automatizados da população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5" t="str">
        <x:v>Execução sobre 520.000 registros artificiais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</x:row>
    <x:row r="4" ht="30" customHeight="1">
      <x:c r="A4" s="19" t="str">
        <x:v>Código</x:v>
      </x:c>
      <x:c r="B4" s="19" t="str">
        <x:v>Procedimento</x:v>
      </x:c>
      <x:c r="C4" s="19" t="str">
        <x:v>População</x:v>
      </x:c>
      <x:c r="D4" s="19" t="str">
        <x:v>Esperadas</x:v>
      </x:c>
      <x:c r="E4" s="19" t="str">
        <x:v>Detectadas</x:v>
      </x:c>
      <x:c r="F4" s="19" t="str">
        <x:v>VP</x:v>
      </x:c>
      <x:c r="G4" s="19" t="str">
        <x:v>FP</x:v>
      </x:c>
      <x:c r="H4" s="19" t="str">
        <x:v>FN</x:v>
      </x:c>
      <x:c r="I4" s="19" t="str">
        <x:v>Distorção</x:v>
      </x:c>
      <x:c r="J4" s="19" t="str">
        <x:v>Resultado</x:v>
      </x:c>
      <x:c r="K4" s="19" t="str">
        <x:v>Classificação</x:v>
      </x:c>
    </x:row>
    <x:row r="5">
      <x:c r="A5" s="22" t="str">
        <x:v>E01</x:v>
      </x:c>
      <x:c r="B5" s="26" t="str">
        <x:v>Faturas duplicadas por fornecedor e número do documento</x:v>
      </x:c>
      <x:c r="C5" s="22" t="n">
        <x:v>520000</x:v>
      </x:c>
      <x:c r="D5" s="22" t="n">
        <x:v>120</x:v>
      </x:c>
      <x:c r="E5" s="22" t="n">
        <x:v>120</x:v>
      </x:c>
      <x:c r="F5" s="22" t="n">
        <x:v>120</x:v>
      </x:c>
      <x:c r="G5" s="22" t="n">
        <x:v>0</x:v>
      </x:c>
      <x:c r="H5" s="22" t="n">
        <x:v>0</x:v>
      </x:c>
      <x:c r="I5" s="24" t="n">
        <x:v>6500000</x:v>
      </x:c>
      <x:c r="J5" s="32" t="str">
        <x:v>CONCILIADO</x:v>
      </x:c>
      <x:c r="K5" s="22" t="str">
        <x:v>Simulado para fins didáticos</x:v>
      </x:c>
    </x:row>
    <x:row r="6">
      <x:c r="A6" s="22" t="str">
        <x:v>E02</x:v>
      </x:c>
      <x:c r="B6" s="26" t="str">
        <x:v>Início de depreciação mais de 30 dias após a disponibilidade para uso</x:v>
      </x:c>
      <x:c r="C6" s="22" t="n">
        <x:v>520000</x:v>
      </x:c>
      <x:c r="D6" s="22" t="n">
        <x:v>150</x:v>
      </x:c>
      <x:c r="E6" s="22" t="n">
        <x:v>150</x:v>
      </x:c>
      <x:c r="F6" s="22" t="n">
        <x:v>150</x:v>
      </x:c>
      <x:c r="G6" s="22" t="n">
        <x:v>0</x:v>
      </x:c>
      <x:c r="H6" s="22" t="n">
        <x:v>0</x:v>
      </x:c>
      <x:c r="I6" s="24" t="n">
        <x:v>4200000</x:v>
      </x:c>
      <x:c r="J6" s="32" t="str">
        <x:v>CONCILIADO</x:v>
      </x:c>
      <x:c r="K6" s="22" t="str">
        <x:v>Simulado para fins didáticos</x:v>
      </x:c>
    </x:row>
    <x:row r="7">
      <x:c r="A7" s="22" t="str">
        <x:v>E03</x:v>
      </x:c>
      <x:c r="B7" s="26" t="str">
        <x:v>Bens sucateados com valor contábil líquido positivo</x:v>
      </x:c>
      <x:c r="C7" s="22" t="n">
        <x:v>520000</x:v>
      </x:c>
      <x:c r="D7" s="22" t="n">
        <x:v>80</x:v>
      </x:c>
      <x:c r="E7" s="22" t="n">
        <x:v>80</x:v>
      </x:c>
      <x:c r="F7" s="22" t="n">
        <x:v>80</x:v>
      </x:c>
      <x:c r="G7" s="22" t="n">
        <x:v>0</x:v>
      </x:c>
      <x:c r="H7" s="22" t="n">
        <x:v>0</x:v>
      </x:c>
      <x:c r="I7" s="24" t="n">
        <x:v>8800000</x:v>
      </x:c>
      <x:c r="J7" s="32" t="str">
        <x:v>CONCILIADO</x:v>
      </x:c>
      <x:c r="K7" s="22" t="str">
        <x:v>Simulado para fins didáticos</x:v>
      </x:c>
    </x:row>
    <x:row r="8">
      <x:c r="A8" s="22" t="str">
        <x:v>E04</x:v>
      </x:c>
      <x:c r="B8" s="26" t="str">
        <x:v>Indicadores de impairment sem avaliação documentada</x:v>
      </x:c>
      <x:c r="C8" s="22" t="n">
        <x:v>520000</x:v>
      </x:c>
      <x:c r="D8" s="22" t="n">
        <x:v>80</x:v>
      </x:c>
      <x:c r="E8" s="22" t="n">
        <x:v>80</x:v>
      </x:c>
      <x:c r="F8" s="22" t="n">
        <x:v>80</x:v>
      </x:c>
      <x:c r="G8" s="22" t="n">
        <x:v>0</x:v>
      </x:c>
      <x:c r="H8" s="22" t="n">
        <x:v>0</x:v>
      </x:c>
      <x:c r="I8" s="24" t="n">
        <x:v>14000000</x:v>
      </x:c>
      <x:c r="J8" s="32" t="str">
        <x:v>CONCILIADO</x:v>
      </x:c>
      <x:c r="K8" s="22" t="str">
        <x:v>Simulado para fins didáticos</x:v>
      </x:c>
    </x:row>
    <x:row r="9">
      <x:c r="A9" s="22" t="str">
        <x:v>E05</x:v>
      </x:c>
      <x:c r="B9" s="26" t="str">
        <x:v>Taxa de conversão aplicada com desvio superior a 2%</x:v>
      </x:c>
      <x:c r="C9" s="22" t="n">
        <x:v>520000</x:v>
      </x:c>
      <x:c r="D9" s="22" t="n">
        <x:v>120</x:v>
      </x:c>
      <x:c r="E9" s="22" t="n">
        <x:v>120</x:v>
      </x:c>
      <x:c r="F9" s="22" t="n">
        <x:v>120</x:v>
      </x:c>
      <x:c r="G9" s="22" t="n">
        <x:v>0</x:v>
      </x:c>
      <x:c r="H9" s="22" t="n">
        <x:v>0</x:v>
      </x:c>
      <x:c r="I9" s="24" t="n">
        <x:v>2500000</x:v>
      </x:c>
      <x:c r="J9" s="32" t="str">
        <x:v>CONCILIADO</x:v>
      </x:c>
      <x:c r="K9" s="22" t="str">
        <x:v>Simulado para fins didáticos</x:v>
      </x:c>
    </x:row>
    <x:row r="10">
      <x:c r="A10" s="22" t="str">
        <x:v>E06</x:v>
      </x:c>
      <x:c r="B10" s="26" t="str">
        <x:v>Depreciação mensal superior a 110% da política calculada</x:v>
      </x:c>
      <x:c r="C10" s="22" t="n">
        <x:v>520000</x:v>
      </x:c>
      <x:c r="D10" s="22" t="n">
        <x:v>100</x:v>
      </x:c>
      <x:c r="E10" s="22" t="n">
        <x:v>100</x:v>
      </x:c>
      <x:c r="F10" s="22" t="n">
        <x:v>100</x:v>
      </x:c>
      <x:c r="G10" s="22" t="n">
        <x:v>0</x:v>
      </x:c>
      <x:c r="H10" s="22" t="n">
        <x:v>0</x:v>
      </x:c>
      <x:c r="I10" s="24" t="n">
        <x:v>-4000000</x:v>
      </x:c>
      <x:c r="J10" s="32" t="str">
        <x:v>CONCILIADO</x:v>
      </x:c>
      <x:c r="K10" s="22" t="str">
        <x:v>Simulado para fins didáticos</x:v>
      </x:c>
    </x:row>
    <x:row r="11">
      <x:c r="A11" s="22" t="str">
        <x:v>E07</x:v>
      </x:c>
      <x:c r="B11" s="26" t="str">
        <x:v>Manutenção rotineira registrada como ativo</x:v>
      </x:c>
      <x:c r="C11" s="22" t="n">
        <x:v>520000</x:v>
      </x:c>
      <x:c r="D11" s="22" t="n">
        <x:v>120</x:v>
      </x:c>
      <x:c r="E11" s="22" t="n">
        <x:v>120</x:v>
      </x:c>
      <x:c r="F11" s="22" t="n">
        <x:v>120</x:v>
      </x:c>
      <x:c r="G11" s="22" t="n">
        <x:v>0</x:v>
      </x:c>
      <x:c r="H11" s="22" t="n">
        <x:v>0</x:v>
      </x:c>
      <x:c r="I11" s="24" t="n">
        <x:v>11000000</x:v>
      </x:c>
      <x:c r="J11" s="32" t="str">
        <x:v>CONCILIADO</x:v>
      </x:c>
      <x:c r="K11" s="22" t="str">
        <x:v>Simulado para fins didáticos</x:v>
      </x:c>
    </x:row>
    <x:row r="12">
      <x:c r="A12" s="22" t="str">
        <x:v>E08</x:v>
      </x:c>
      <x:c r="B12" s="26" t="str">
        <x:v>Adições antes da transferência de controle até a data-base</x:v>
      </x:c>
      <x:c r="C12" s="22" t="n">
        <x:v>520000</x:v>
      </x:c>
      <x:c r="D12" s="22" t="n">
        <x:v>100</x:v>
      </x:c>
      <x:c r="E12" s="22" t="n">
        <x:v>100</x:v>
      </x:c>
      <x:c r="F12" s="22" t="n">
        <x:v>100</x:v>
      </x:c>
      <x:c r="G12" s="22" t="n">
        <x:v>0</x:v>
      </x:c>
      <x:c r="H12" s="22" t="n">
        <x:v>0</x:v>
      </x:c>
      <x:c r="I12" s="24" t="n">
        <x:v>10000000</x:v>
      </x:c>
      <x:c r="J12" s="32" t="str">
        <x:v>CONCILIADO</x:v>
      </x:c>
      <x:c r="K12" s="22" t="str">
        <x:v>Simulado para fins didáticos</x:v>
      </x:c>
    </x:row>
    <x:row r="13">
      <x:c r="A13" s="22" t="str">
        <x:v>E09</x:v>
      </x:c>
      <x:c r="B13" s="26" t="str">
        <x:v>Adições sem aprovação de CAPEX</x:v>
      </x:c>
      <x:c r="C13" s="22" t="n">
        <x:v>520000</x:v>
      </x:c>
      <x:c r="D13" s="22" t="n">
        <x:v>600</x:v>
      </x:c>
      <x:c r="E13" s="22" t="n">
        <x:v>600</x:v>
      </x:c>
      <x:c r="F13" s="22" t="n">
        <x:v>600</x:v>
      </x:c>
      <x:c r="G13" s="22" t="n">
        <x:v>0</x:v>
      </x:c>
      <x:c r="H13" s="22" t="n">
        <x:v>0</x:v>
      </x:c>
      <x:c r="I13" s="24" t="n">
        <x:v>0</x:v>
      </x:c>
      <x:c r="J13" s="32" t="str">
        <x:v>CONCILIADO</x:v>
      </x:c>
      <x:c r="K13" s="22" t="str">
        <x:v>Simulado para fins didáticos</x:v>
      </x:c>
    </x:row>
    <x:row r="14">
      <x:c r="A14" s="22" t="str">
        <x:v>E10</x:v>
      </x:c>
      <x:c r="B14" s="26" t="str">
        <x:v>Registros sem documento-suporte</x:v>
      </x:c>
      <x:c r="C14" s="22" t="n">
        <x:v>520000</x:v>
      </x:c>
      <x:c r="D14" s="22" t="n">
        <x:v>750</x:v>
      </x:c>
      <x:c r="E14" s="22" t="n">
        <x:v>750</x:v>
      </x:c>
      <x:c r="F14" s="22" t="n">
        <x:v>750</x:v>
      </x:c>
      <x:c r="G14" s="22" t="n">
        <x:v>0</x:v>
      </x:c>
      <x:c r="H14" s="22" t="n">
        <x:v>0</x:v>
      </x:c>
      <x:c r="I14" s="24" t="n">
        <x:v>0</x:v>
      </x:c>
      <x:c r="J14" s="32" t="str">
        <x:v>CONCILIADO</x:v>
      </x:c>
      <x:c r="K14" s="22" t="str">
        <x:v>Simulado para fins didáticos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Distorções e exceções artificiais</x:v>
      </x:c>
      <x:c r="B1" s="4"/>
      <x:c r="C1" s="4"/>
      <x:c r="D1" s="4"/>
      <x:c r="E1" s="4"/>
      <x:c r="F1" s="4"/>
      <x:c r="G1" s="4"/>
      <x:c r="H1" s="4"/>
    </x:row>
    <x:row r="2">
      <x:c r="A2" s="5" t="str">
        <x:v>Sinal positivo significa superavaliação do valor contábil</x:v>
      </x:c>
      <x:c r="B2" s="5"/>
      <x:c r="C2" s="5"/>
      <x:c r="D2" s="5"/>
      <x:c r="E2" s="5"/>
      <x:c r="F2" s="5"/>
      <x:c r="G2" s="5"/>
      <x:c r="H2" s="5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 ht="30" customHeight="1">
      <x:c r="A4" s="19" t="str">
        <x:v>Código</x:v>
      </x:c>
      <x:c r="B4" s="19" t="str">
        <x:v>Descrição</x:v>
      </x:c>
      <x:c r="C4" s="19" t="str">
        <x:v>Assertiva</x:v>
      </x:c>
      <x:c r="D4" s="19" t="str">
        <x:v>Classificação</x:v>
      </x:c>
      <x:c r="E4" s="19" t="str">
        <x:v>Registros</x:v>
      </x:c>
      <x:c r="F4" s="19" t="str">
        <x:v>Distorção líquida</x:v>
      </x:c>
      <x:c r="G4" s="19" t="str">
        <x:v>Distorção absoluta</x:v>
      </x:c>
      <x:c r="H4" s="19" t="str">
        <x:v>% materialidade</x:v>
      </x:c>
    </x:row>
    <x:row r="5">
      <x:c r="A5" s="22" t="str">
        <x:v>E01</x:v>
      </x:c>
      <x:c r="B5" s="22" t="str">
        <x:v>Fatura duplicada</x:v>
      </x:c>
      <x:c r="C5" s="22" t="str">
        <x:v>existência/ocorrência</x:v>
      </x:c>
      <x:c r="D5" s="22" t="str">
        <x:v>superavaliação</x:v>
      </x:c>
      <x:c r="E5" s="22" t="n">
        <x:v>120</x:v>
      </x:c>
      <x:c r="F5" s="24" t="n">
        <x:v>6500000</x:v>
      </x:c>
      <x:c r="G5" s="24" t="n">
        <x:v>6500000</x:v>
      </x:c>
      <x:c r="H5" s="25" t="n">
        <x:f>ABS(F5)/Materialidade!$B$6</x:f>
        <x:v>0.13842096391887213</x:v>
      </x:c>
    </x:row>
    <x:row r="6">
      <x:c r="A6" s="22" t="str">
        <x:v>E02</x:v>
      </x:c>
      <x:c r="B6" s="22" t="str">
        <x:v>Início tardio da depreciação</x:v>
      </x:c>
      <x:c r="C6" s="22" t="str">
        <x:v>avaliação/alocação</x:v>
      </x:c>
      <x:c r="D6" s="22" t="str">
        <x:v>superavaliação</x:v>
      </x:c>
      <x:c r="E6" s="22" t="n">
        <x:v>150</x:v>
      </x:c>
      <x:c r="F6" s="24" t="n">
        <x:v>4200000</x:v>
      </x:c>
      <x:c r="G6" s="24" t="n">
        <x:v>4200000</x:v>
      </x:c>
      <x:c r="H6" s="25" t="n">
        <x:f>ABS(F6)/Materialidade!$B$6</x:f>
        <x:v>0.08944123822450198</x:v>
      </x:c>
    </x:row>
    <x:row r="7">
      <x:c r="A7" s="22" t="str">
        <x:v>E03</x:v>
      </x:c>
      <x:c r="B7" s="22" t="str">
        <x:v>Bem sucateado sem baixa</x:v>
      </x:c>
      <x:c r="C7" s="22" t="str">
        <x:v>existência e avaliação</x:v>
      </x:c>
      <x:c r="D7" s="22" t="str">
        <x:v>superavaliação</x:v>
      </x:c>
      <x:c r="E7" s="22" t="n">
        <x:v>80</x:v>
      </x:c>
      <x:c r="F7" s="24" t="n">
        <x:v>8800000</x:v>
      </x:c>
      <x:c r="G7" s="24" t="n">
        <x:v>8800000</x:v>
      </x:c>
      <x:c r="H7" s="25" t="n">
        <x:f>ABS(F7)/Materialidade!$B$6</x:f>
        <x:v>0.18740068961324224</x:v>
      </x:c>
    </x:row>
    <x:row r="8">
      <x:c r="A8" s="22" t="str">
        <x:v>E04</x:v>
      </x:c>
      <x:c r="B8" s="22" t="str">
        <x:v>Indicador de impairment sem teste</x:v>
      </x:c>
      <x:c r="C8" s="22" t="str">
        <x:v>avaliação/alocação</x:v>
      </x:c>
      <x:c r="D8" s="22" t="str">
        <x:v>superavaliação</x:v>
      </x:c>
      <x:c r="E8" s="22" t="n">
        <x:v>80</x:v>
      </x:c>
      <x:c r="F8" s="24" t="n">
        <x:v>14000000</x:v>
      </x:c>
      <x:c r="G8" s="24" t="n">
        <x:v>14000000</x:v>
      </x:c>
      <x:c r="H8" s="25" t="n">
        <x:f>ABS(F8)/Materialidade!$B$6</x:f>
        <x:v>0.2981374607483399</x:v>
      </x:c>
    </x:row>
    <x:row r="9">
      <x:c r="A9" s="22" t="str">
        <x:v>E05</x:v>
      </x:c>
      <x:c r="B9" s="22" t="str">
        <x:v>Conversão cambial inconsistente</x:v>
      </x:c>
      <x:c r="C9" s="22" t="str">
        <x:v>exatidão e avaliação</x:v>
      </x:c>
      <x:c r="D9" s="22" t="str">
        <x:v>superavaliação</x:v>
      </x:c>
      <x:c r="E9" s="22" t="n">
        <x:v>120</x:v>
      </x:c>
      <x:c r="F9" s="24" t="n">
        <x:v>2500000</x:v>
      </x:c>
      <x:c r="G9" s="24" t="n">
        <x:v>2500000</x:v>
      </x:c>
      <x:c r="H9" s="25" t="n">
        <x:f>ABS(F9)/Materialidade!$B$6</x:f>
        <x:v>0.053238832276489276</x:v>
      </x:c>
    </x:row>
    <x:row r="10">
      <x:c r="A10" s="22" t="str">
        <x:v>E06</x:v>
      </x:c>
      <x:c r="B10" s="22" t="str">
        <x:v>Depreciação acima da política</x:v>
      </x:c>
      <x:c r="C10" s="22" t="str">
        <x:v>avaliação/alocação</x:v>
      </x:c>
      <x:c r="D10" s="22" t="str">
        <x:v>subavaliação</x:v>
      </x:c>
      <x:c r="E10" s="22" t="n">
        <x:v>100</x:v>
      </x:c>
      <x:c r="F10" s="24" t="n">
        <x:v>-4000000</x:v>
      </x:c>
      <x:c r="G10" s="24" t="n">
        <x:v>4000000</x:v>
      </x:c>
      <x:c r="H10" s="25" t="n">
        <x:f>ABS(F10)/Materialidade!$B$6</x:f>
        <x:v>0.08518213164238284</x:v>
      </x:c>
    </x:row>
    <x:row r="11">
      <x:c r="A11" s="22" t="str">
        <x:v>E07</x:v>
      </x:c>
      <x:c r="B11" s="22" t="str">
        <x:v>Manutenção rotineira capitalizada</x:v>
      </x:c>
      <x:c r="C11" s="22" t="str">
        <x:v>classificação e ocorrência</x:v>
      </x:c>
      <x:c r="D11" s="22" t="str">
        <x:v>superavaliação</x:v>
      </x:c>
      <x:c r="E11" s="22" t="n">
        <x:v>120</x:v>
      </x:c>
      <x:c r="F11" s="24" t="n">
        <x:v>11000000</x:v>
      </x:c>
      <x:c r="G11" s="24" t="n">
        <x:v>11000000</x:v>
      </x:c>
      <x:c r="H11" s="25" t="n">
        <x:f>ABS(F11)/Materialidade!$B$6</x:f>
        <x:v>0.2342508620165528</x:v>
      </x:c>
    </x:row>
    <x:row r="12">
      <x:c r="A12" s="22" t="str">
        <x:v>E08</x:v>
      </x:c>
      <x:c r="B12" s="22" t="str">
        <x:v>Adição reconhecida antes da transferência de controle</x:v>
      </x:c>
      <x:c r="C12" s="22" t="str">
        <x:v>corte e direitos</x:v>
      </x:c>
      <x:c r="D12" s="22" t="str">
        <x:v>superavaliação</x:v>
      </x:c>
      <x:c r="E12" s="22" t="n">
        <x:v>100</x:v>
      </x:c>
      <x:c r="F12" s="24" t="n">
        <x:v>10000000</x:v>
      </x:c>
      <x:c r="G12" s="24" t="n">
        <x:v>10000000</x:v>
      </x:c>
      <x:c r="H12" s="25" t="n">
        <x:f>ABS(F12)/Materialidade!$B$6</x:f>
        <x:v>0.2129553291059571</x:v>
      </x:c>
    </x:row>
    <x:row r="13">
      <x:c r="A13" s="22" t="str">
        <x:v>E09</x:v>
      </x:c>
      <x:c r="B13" s="22" t="str">
        <x:v>Adição sem aprovação de CAPEX</x:v>
      </x:c>
      <x:c r="C13" s="22" t="str">
        <x:v>ocorrência/autorização</x:v>
      </x:c>
      <x:c r="D13" s="22" t="str">
        <x:v>sem quantificação direta</x:v>
      </x:c>
      <x:c r="E13" s="22" t="n">
        <x:v>600</x:v>
      </x:c>
      <x:c r="F13" s="24" t="n">
        <x:v>0</x:v>
      </x:c>
      <x:c r="G13" s="24" t="n">
        <x:v>0</x:v>
      </x:c>
      <x:c r="H13" s="25" t="n">
        <x:f>ABS(F13)/Materialidade!$B$6</x:f>
        <x:v>0</x:v>
      </x:c>
    </x:row>
    <x:row r="14">
      <x:c r="A14" s="22" t="str">
        <x:v>E10</x:v>
      </x:c>
      <x:c r="B14" s="22" t="str">
        <x:v>Documento-suporte ausente</x:v>
      </x:c>
      <x:c r="C14" s="22" t="str">
        <x:v>existência/ocorrência</x:v>
      </x:c>
      <x:c r="D14" s="22" t="str">
        <x:v>sem quantificação direta</x:v>
      </x:c>
      <x:c r="E14" s="22" t="n">
        <x:v>750</x:v>
      </x:c>
      <x:c r="F14" s="24" t="n">
        <x:v>0</x:v>
      </x:c>
      <x:c r="G14" s="24" t="n">
        <x:v>0</x:v>
      </x:c>
      <x:c r="H14" s="25" t="n">
        <x:f>ABS(F14)/Materialidade!$B$6</x:f>
        <x:v>0</x:v>
      </x:c>
    </x:row>
    <x:row r="15">
      <x:c r="A15" s="30" t="str">
        <x:v>TOTAL</x:v>
      </x:c>
      <x:c r="B15" s="30" t="str"/>
      <x:c r="C15" s="30" t="str"/>
      <x:c r="D15" s="30" t="str"/>
      <x:c r="E15" s="30" t="n">
        <x:f>SUM(E5:E14)</x:f>
        <x:v>2220</x:v>
      </x:c>
      <x:c r="F15" s="31" t="n">
        <x:f>SUM(F5:F14)</x:f>
        <x:v>53000000</x:v>
      </x:c>
      <x:c r="G15" s="31" t="n">
        <x:f>SUM(G5:G14)</x:f>
        <x:v>61000000</x:v>
      </x:c>
      <x:c r="H15" s="33" t="n">
        <x:f>ABS(F15)/Materialidade!$B$6</x:f>
        <x:v>1.1286632442615725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8" hidden="0" customWidth="1"/>
  </x:cols>
  <x:sheetData>
    <x:row r="1" ht="28" customHeight="1">
      <x:c r="A1" s="4" t="str">
        <x:v>Amostragem por unidade monetária</x:v>
      </x:c>
      <x:c r="B1" s="4"/>
      <x:c r="C1" s="4"/>
      <x:c r="D1" s="4"/>
    </x:row>
    <x:row r="2">
      <x:c r="A2" s="5" t="str">
        <x:v>Planejamento e avaliação sobre a população artificial</x:v>
      </x:c>
      <x:c r="B2" s="5"/>
      <x:c r="C2" s="5"/>
      <x:c r="D2" s="5"/>
    </x:row>
    <x:row r="3">
      <x:c r="A3" s="36"/>
      <x:c r="B3" s="36"/>
      <x:c r="C3" s="36"/>
      <x:c r="D3" s="36"/>
    </x:row>
    <x:row r="4" ht="30" customHeight="1">
      <x:c r="A4" s="19" t="str">
        <x:v>Parâmetro</x:v>
      </x:c>
      <x:c r="B4" s="19" t="str">
        <x:v>Valor</x:v>
      </x:c>
      <x:c r="C4" s="19" t="str">
        <x:v>Natureza</x:v>
      </x:c>
      <x:c r="D4" s="36"/>
    </x:row>
    <x:row r="5">
      <x:c r="A5" s="22" t="str">
        <x:v>Valor da população</x:v>
      </x:c>
      <x:c r="B5" s="24" t="n">
        <x:v>2525157000</x:v>
      </x:c>
      <x:c r="C5" s="22" t="str">
        <x:v>Entrada</x:v>
      </x:c>
      <x:c r="D5" s="36"/>
    </x:row>
    <x:row r="6">
      <x:c r="A6" s="22" t="str">
        <x:v>Risco de amostragem</x:v>
      </x:c>
      <x:c r="B6" s="25" t="n">
        <x:v>0.05</x:v>
      </x:c>
      <x:c r="C6" s="22" t="str">
        <x:v>Entrada</x:v>
      </x:c>
      <x:c r="D6" s="36"/>
    </x:row>
    <x:row r="7">
      <x:c r="A7" s="22" t="str">
        <x:v>Fator de confiança</x:v>
      </x:c>
      <x:c r="B7" s="22" t="n">
        <x:v>3</x:v>
      </x:c>
      <x:c r="C7" s="22" t="str">
        <x:v>Entrada</x:v>
      </x:c>
      <x:c r="D7" s="36"/>
    </x:row>
    <x:row r="8">
      <x:c r="A8" s="22" t="str">
        <x:v>Distorção tolerável</x:v>
      </x:c>
      <x:c r="B8" s="24" t="n">
        <x:v>32870744</x:v>
      </x:c>
      <x:c r="C8" s="22" t="str">
        <x:v>Entrada</x:v>
      </x:c>
      <x:c r="D8" s="36"/>
    </x:row>
    <x:row r="9">
      <x:c r="A9" s="22" t="str">
        <x:v>Distorção esperada</x:v>
      </x:c>
      <x:c r="B9" s="24" t="n">
        <x:v>5000000</x:v>
      </x:c>
      <x:c r="C9" s="22" t="str">
        <x:v>Entrada</x:v>
      </x:c>
      <x:c r="D9" s="36"/>
    </x:row>
    <x:row r="10">
      <x:c r="A10" s="22" t="str">
        <x:v>Fator de expansão</x:v>
      </x:c>
      <x:c r="B10" s="22" t="n">
        <x:v>1.5</x:v>
      </x:c>
      <x:c r="C10" s="22" t="str">
        <x:v>Entrada</x:v>
      </x:c>
      <x:c r="D10" s="36"/>
    </x:row>
    <x:row r="11">
      <x:c r="A11" s="22" t="str">
        <x:v>Tamanho planejado</x:v>
      </x:c>
      <x:c r="B11" s="22" t="n">
        <x:v>299</x:v>
      </x:c>
      <x:c r="C11" s="22" t="str">
        <x:v>Cálculo</x:v>
      </x:c>
      <x:c r="D11" s="36"/>
    </x:row>
    <x:row r="12">
      <x:c r="A12" s="22" t="str">
        <x:v>Tamanho efetivo</x:v>
      </x:c>
      <x:c r="B12" s="22" t="n">
        <x:v>299</x:v>
      </x:c>
      <x:c r="C12" s="22" t="str">
        <x:v>Resultado</x:v>
      </x:c>
      <x:c r="D12" s="36"/>
    </x:row>
    <x:row r="13">
      <x:c r="A13" s="22" t="str">
        <x:v>Intervalo sistemático</x:v>
      </x:c>
      <x:c r="B13" s="24" t="n">
        <x:v>8445341.137123745</x:v>
      </x:c>
      <x:c r="C13" s="22" t="str">
        <x:v>Cálculo</x:v>
      </x:c>
      <x:c r="D13" s="36"/>
    </x:row>
    <x:row r="14">
      <x:c r="A14" s="22" t="str">
        <x:v>Início aleatório</x:v>
      </x:c>
      <x:c r="B14" s="24" t="n">
        <x:v>7160703.55480419</x:v>
      </x:c>
      <x:c r="C14" s="22" t="str">
        <x:v>Cálculo</x:v>
      </x:c>
      <x:c r="D14" s="36"/>
    </x:row>
    <x:row r="15">
      <x:c r="A15" s="22" t="str">
        <x:v>Itens com erro</x:v>
      </x:c>
      <x:c r="B15" s="24" t="n">
        <x:v>75</x:v>
      </x:c>
      <x:c r="C15" s="22" t="str">
        <x:v>Resultado</x:v>
      </x:c>
      <x:c r="D15" s="36"/>
    </x:row>
    <x:row r="16">
      <x:c r="A16" s="22" t="str">
        <x:v>Distorção observada assinada</x:v>
      </x:c>
      <x:c r="B16" s="24" t="n">
        <x:v>4688648</x:v>
      </x:c>
      <x:c r="C16" s="22" t="str">
        <x:v>Resultado</x:v>
      </x:c>
      <x:c r="D16" s="36"/>
    </x:row>
    <x:row r="17">
      <x:c r="A17" s="22" t="str">
        <x:v>Distorção absoluta projetada</x:v>
      </x:c>
      <x:c r="B17" s="24" t="n">
        <x:v>51494894.312485784</x:v>
      </x:c>
      <x:c r="C17" s="22" t="str">
        <x:v>Resultado</x:v>
      </x:c>
      <x:c r="D17" s="36"/>
    </x:row>
    <x:row r="18">
      <x:c r="A18" s="22" t="str">
        <x:v>Precisão básica</x:v>
      </x:c>
      <x:c r="B18" s="24" t="n">
        <x:v>25299981.005654752</x:v>
      </x:c>
      <x:c r="C18" s="22" t="str">
        <x:v>Resultado</x:v>
      </x:c>
      <x:c r="D18" s="36"/>
    </x:row>
    <x:row r="19">
      <x:c r="A19" s="22" t="str">
        <x:v>Margem incremental</x:v>
      </x:c>
      <x:c r="B19" s="24" t="n">
        <x:v>66714352.37096729</x:v>
      </x:c>
      <x:c r="C19" s="22" t="str">
        <x:v>Resultado</x:v>
      </x:c>
      <x:c r="D19" s="36"/>
    </x:row>
    <x:row r="20">
      <x:c r="A20" s="22" t="str">
        <x:v>Limite superior de erro</x:v>
      </x:c>
      <x:c r="B20" s="24" t="n">
        <x:v>92014333.37662205</x:v>
      </x:c>
      <x:c r="C20" s="22" t="str">
        <x:v>Resultado</x:v>
      </x:c>
      <x:c r="D20" s="36"/>
    </x:row>
    <x:row r="21">
      <x:c r="A21" s="22" t="str">
        <x:v>Conclusão</x:v>
      </x:c>
      <x:c r="B21" s="35" t="str">
        <x:v>NÃO ACEITAR A POPULAÇÃO</x:v>
      </x:c>
      <x:c r="C21" s="22" t="str">
        <x:v>Resultado</x:v>
      </x:c>
      <x:c r="D21" s="36"/>
    </x:row>
    <x:row r="22">
      <x:c r="A22" s="36"/>
      <x:c r="B22" s="36"/>
      <x:c r="C22" s="36"/>
      <x:c r="D22" s="36"/>
    </x:row>
    <x:row r="23">
      <x:c r="A23" s="36" t="str">
        <x:v>Limitação</x:v>
      </x:c>
      <x:c r="B23" s="36" t="str"/>
      <x:c r="C23" s="36" t="str"/>
      <x:c r="D23" s="36"/>
    </x:row>
    <x:row r="24" ht="42" customHeight="1">
      <x:c r="A24" s="43" t="str">
        <x:v>Resultado exclusivamente didático, calculado sobre registros e erros artificiais; não constitui evidência sobre ativos reais da Tupy.</x:v>
      </x:c>
      <x:c r="B24" s="43" t="str"/>
      <x:c r="C24" s="43" t="str"/>
      <x:c r="D24" s="3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C00000"/>
  </x:sheetPr>
  <x:sheetViews>
    <x:sheetView showGridLines="0" workbookViewId="0"/>
  </x:sheetViews>
  <x:sheetFormatPr defaultRowHeight="15"/>
  <x:cols>
    <x:col min="1" max="1" width="29" hidden="0" customWidth="1"/>
    <x:col min="2" max="2" width="44" hidden="0" customWidth="1"/>
    <x:col min="3" max="3" width="20" hidden="0" customWidth="1"/>
    <x:col min="4" max="4" width="18" hidden="0" customWidth="1"/>
    <x:col min="5" max="5" width="30" hidden="0" customWidth="1"/>
    <x:col min="6" max="6" width="58" hidden="0" customWidth="1"/>
  </x:cols>
  <x:sheetData>
    <x:row r="1" ht="28" customHeight="1">
      <x:c r="A1" s="4" t="str">
        <x:v>Continuidade operacional</x:v>
      </x:c>
      <x:c r="B1" s="4"/>
      <x:c r="C1" s="4"/>
      <x:c r="D1" s="4"/>
      <x:c r="E1" s="4"/>
      <x:c r="F1" s="4"/>
    </x:row>
    <x:row r="2">
      <x:c r="A2" s="5" t="str">
        <x:v>Indicadores adversos, fatores mitigantes e informação posterior</x:v>
      </x:c>
      <x:c r="B2" s="5"/>
      <x:c r="C2" s="5"/>
      <x:c r="D2" s="5"/>
      <x:c r="E2" s="5"/>
      <x:c r="F2" s="5"/>
    </x:row>
    <x:row r="3">
      <x:c r="A3" s="36"/>
      <x:c r="B3" s="36"/>
      <x:c r="C3" s="36"/>
      <x:c r="D3" s="36"/>
      <x:c r="E3" s="36"/>
      <x:c r="F3" s="36"/>
    </x:row>
    <x:row r="4" ht="30" customHeight="1">
      <x:c r="A4" s="19" t="str">
        <x:v>Classificação</x:v>
      </x:c>
      <x:c r="B4" s="19" t="str">
        <x:v>Fator</x:v>
      </x:c>
      <x:c r="C4" s="19" t="str">
        <x:v>Valor/índice</x:v>
      </x:c>
      <x:c r="D4" s="19" t="str">
        <x:v>Período</x:v>
      </x:c>
      <x:c r="E4" s="19" t="str">
        <x:v>Fonte</x:v>
      </x:c>
      <x:c r="F4" s="19" t="str">
        <x:v>Relevância</x:v>
      </x:c>
    </x:row>
    <x:row r="5">
      <x:c r="A5" s="26" t="str">
        <x:v>Indicador adverso</x:v>
      </x:c>
      <x:c r="B5" s="26" t="str">
        <x:v>Prejuízo líquido consolidado</x:v>
      </x:c>
      <x:c r="C5" s="26" t="n">
        <x:v>-654552000</x:v>
      </x:c>
      <x:c r="D5" s="26" t="str">
        <x:v>2025</x:v>
      </x:c>
      <x:c r="E5" s="26" t="str">
        <x:v>DF 2025, p. 20</x:v>
      </x:c>
      <x:c r="F5" s="26" t="str">
        <x:v>Pressiona patrimônio e cobertura de obrigações.</x:v>
      </x:c>
    </x:row>
    <x:row r="6">
      <x:c r="A6" s="26" t="str">
        <x:v>Indicador adverso</x:v>
      </x:c>
      <x:c r="B6" s="26" t="str">
        <x:v>Resultado antes do financeiro e tributos</x:v>
      </x:c>
      <x:c r="C6" s="26" t="n">
        <x:v>-156481000</x:v>
      </x:c>
      <x:c r="D6" s="26" t="str">
        <x:v>2025</x:v>
      </x:c>
      <x:c r="E6" s="26" t="str">
        <x:v>DF 2025, p. 20</x:v>
      </x:c>
      <x:c r="F6" s="26" t="str">
        <x:v>Evidencia perda operacional no exercício.</x:v>
      </x:c>
    </x:row>
    <x:row r="7">
      <x:c r="A7" s="26" t="str">
        <x:v>Indicador adverso</x:v>
      </x:c>
      <x:c r="B7" s="26" t="str">
        <x:v>Dívida líquida/EBITDA ajustado</x:v>
      </x:c>
      <x:c r="C7" s="26" t="n">
        <x:v>3.35</x:v>
      </x:c>
      <x:c r="D7" s="26" t="str">
        <x:v>2025</x:v>
      </x:c>
      <x:c r="E7" s="26" t="str">
        <x:v>Relatório anual 2025, p. 15</x:v>
      </x:c>
      <x:c r="F7" s="26" t="str">
        <x:v>Aumento frente a 1,81x em 2024.</x:v>
      </x:c>
    </x:row>
    <x:row r="8">
      <x:c r="A8" s="26" t="str">
        <x:v>Indicador adverso</x:v>
      </x:c>
      <x:c r="B8" s="26" t="str">
        <x:v>Waivers e garantias de imobilizado</x:v>
      </x:c>
      <x:c r="C8" s="26" t="n">
        <x:v>620000000</x:v>
      </x:c>
      <x:c r="D8" s="26" t="str">
        <x:v>Q4 2025 a Q3 2027</x:v>
      </x:c>
      <x:c r="E8" s="26" t="str">
        <x:v>DF 2025, Nota 13e e Nota 17h</x:v>
      </x:c>
      <x:c r="F8" s="26" t="str">
        <x:v>Exige inspeção dos termos, classificação e projeções.</x:v>
      </x:c>
    </x:row>
    <x:row r="9">
      <x:c r="A9" s="26" t="str">
        <x:v>Fator mitigante</x:v>
      </x:c>
      <x:c r="B9" s="26" t="str">
        <x:v>Caixa e equivalentes</x:v>
      </x:c>
      <x:c r="C9" s="26" t="n">
        <x:v>1853156000</x:v>
      </x:c>
      <x:c r="D9" s="26" t="str">
        <x:v>31/12/2025</x:v>
      </x:c>
      <x:c r="E9" s="26" t="str">
        <x:v>DF 2025, p. 18</x:v>
      </x:c>
      <x:c r="F9" s="26" t="str">
        <x:v>Reserva de liquidez relevante.</x:v>
      </x:c>
    </x:row>
    <x:row r="10">
      <x:c r="A10" s="26" t="str">
        <x:v>Fator mitigante</x:v>
      </x:c>
      <x:c r="B10" s="26" t="str">
        <x:v>Caixa gerado nas atividades operacionais</x:v>
      </x:c>
      <x:c r="C10" s="26" t="n">
        <x:v>915137000</x:v>
      </x:c>
      <x:c r="D10" s="26" t="str">
        <x:v>2025</x:v>
      </x:c>
      <x:c r="E10" s="26" t="str">
        <x:v>DF 2025, p. 23</x:v>
      </x:c>
      <x:c r="F10" s="26" t="str">
        <x:v>Geração operacional positiva.</x:v>
      </x:c>
    </x:row>
    <x:row r="11">
      <x:c r="A11" s="26" t="str">
        <x:v>Fator mitigante</x:v>
      </x:c>
      <x:c r="B11" s="26" t="str">
        <x:v>Liquidez corrente</x:v>
      </x:c>
      <x:c r="C11" s="26" t="n">
        <x:v>2.3992</x:v>
      </x:c>
      <x:c r="D11" s="26" t="str">
        <x:v>31/12/2025</x:v>
      </x:c>
      <x:c r="E11" s="26" t="str">
        <x:v>Cálculo a partir das DFs</x:v>
      </x:c>
      <x:c r="F11" s="26" t="str">
        <x:v>Ativo circulante excede o passivo circulante.</x:v>
      </x:c>
    </x:row>
    <x:row r="12">
      <x:c r="A12" s="26" t="str">
        <x:v>Fator mitigante</x:v>
      </x:c>
      <x:c r="B12" s="26" t="str">
        <x:v>Adimplência com cláusulas restritivas</x:v>
      </x:c>
      <x:c r="C12" s="26" t="n">
        <x:v>1</x:v>
      </x:c>
      <x:c r="D12" s="26" t="str">
        <x:v>31/12/2025</x:v>
      </x:c>
      <x:c r="E12" s="26" t="str">
        <x:v>DF 2025, Nota 17h</x:v>
      </x:c>
      <x:c r="F12" s="26" t="str">
        <x:v>Administração declara cumprimento após waivers.</x:v>
      </x:c>
    </x:row>
    <x:row r="13">
      <x:c r="A13" s="26" t="str">
        <x:v>Informação posterior ao relatório</x:v>
      </x:c>
      <x:c r="B13" s="26" t="str">
        <x:v>Financiamento BNDES contratado</x:v>
      </x:c>
      <x:c r="C13" s="26" t="n">
        <x:v>600000000</x:v>
      </x:c>
      <x:c r="D13" s="26" t="str">
        <x:v>27/07/2026</x:v>
      </x:c>
      <x:c r="E13" s="26" t="str">
        <x:v>ITR 2T26, Nota 31</x:v>
      </x:c>
      <x:c r="F13" s="26" t="str">
        <x:v>Não integra a evidência disponível em 19/03/2026; usado apenas como acompanhamento posterior.</x:v>
      </x:c>
    </x:row>
  </x:sheetData>
  <x:conditionalFormatting sqref="A5:A13">
    <x:cfRule type="containsText" dxfId="2" priority="1" operator="containsText" text="Indicador adverso"/>
    <x:cfRule type="containsText" dxfId="3" priority="2" operator="containsText" text="Fator mitigan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2" hidden="0" customWidth="1"/>
    <x:col min="9" max="9" width="52" hidden="0" customWidth="1"/>
  </x:cols>
  <x:sheetData>
    <x:row r="1" ht="28" customHeight="1">
      <x:c r="A1" s="4" t="str">
        <x:v>Matriz de fontes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5" t="str">
        <x:v>Documentos primários, período, páginas, URL e finalidade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</x:row>
    <x:row r="4" ht="30" customHeight="1">
      <x:c r="A4" s="19" t="str">
        <x:v>ID</x:v>
      </x:c>
      <x:c r="B4" s="19" t="str">
        <x:v>Documento</x:v>
      </x:c>
      <x:c r="C4" s="19" t="str">
        <x:v>Emissor</x:v>
      </x:c>
      <x:c r="D4" s="19" t="str">
        <x:v>Período/versão</x:v>
      </x:c>
      <x:c r="E4" s="19" t="str">
        <x:v>Publicação</x:v>
      </x:c>
      <x:c r="F4" s="19" t="str">
        <x:v>Acesso</x:v>
      </x:c>
      <x:c r="G4" s="19" t="str">
        <x:v>Páginas</x:v>
      </x:c>
      <x:c r="H4" s="19" t="str">
        <x:v>URL</x:v>
      </x:c>
      <x:c r="I4" s="19" t="str">
        <x:v>Finalidade</x:v>
      </x:c>
    </x:row>
    <x:row r="5">
      <x:c r="A5" s="22" t="str">
        <x:v>F01</x:v>
      </x:c>
      <x:c r="B5" s="26" t="str">
        <x:v>Demonstrações Financeiras Padronizadas 2025</x:v>
      </x:c>
      <x:c r="C5" s="26" t="str">
        <x:v>Tupy S.A. / CVM</x:v>
      </x:c>
      <x:c r="D5" s="26" t="str">
        <x:v>31/12/2025 V1</x:v>
      </x:c>
      <x:c r="E5" s="26" t="str">
        <x:v>2026-03-19</x:v>
      </x:c>
      <x:c r="F5" s="26" t="str">
        <x:v>2026-10-24</x:v>
      </x:c>
      <x:c r="G5" s="26" t="str">
        <x:v>18-23; 26-81; 82-87; 96-100</x:v>
      </x:c>
      <x:c r="H5" s="26" t="str">
        <x:v>https://www.rad.cvm.gov.br/ENET/frmGerenciaPaginaFRE.aspx?CodigoTipoInstituicao=1&amp;NumeroSequencialDocumento=155493</x:v>
      </x:c>
      <x:c r="I5" s="26" t="str">
        <x:v>Saldos, notas, relatório da administração, opinião e principais assuntos de auditoria</x:v>
      </x:c>
    </x:row>
    <x:row r="6">
      <x:c r="A6" s="22" t="str">
        <x:v>F02</x:v>
      </x:c>
      <x:c r="B6" s="26" t="str">
        <x:v>Demonstrações Financeiras Padronizadas 2024</x:v>
      </x:c>
      <x:c r="C6" s="26" t="str">
        <x:v>Tupy S.A. / CVM</x:v>
      </x:c>
      <x:c r="D6" s="26" t="str">
        <x:v>31/12/2024 V1</x:v>
      </x:c>
      <x:c r="E6" s="26" t="str">
        <x:v>2025-03-27</x:v>
      </x:c>
      <x:c r="F6" s="26" t="str">
        <x:v>2026-10-24</x:v>
      </x:c>
      <x:c r="G6" s="26" t="str">
        <x:v>Demonstrações e notas comparativas</x:v>
      </x:c>
      <x:c r="H6" s="26" t="str">
        <x:v>https://www.rad.cvm.gov.br/ENET/frmGerenciaPaginaFRE.aspx?CodigoTipoInstituicao=1&amp;NumeroSequencialDocumento=145865</x:v>
      </x:c>
      <x:c r="I6" s="26" t="str">
        <x:v>Saldos iniciais, comparativos e revisão retrospectiva</x:v>
      </x:c>
    </x:row>
    <x:row r="7">
      <x:c r="A7" s="22" t="str">
        <x:v>F03</x:v>
      </x:c>
      <x:c r="B7" s="26" t="str">
        <x:v>Informações Trimestrais 1T25</x:v>
      </x:c>
      <x:c r="C7" s="26" t="str">
        <x:v>Tupy S.A. / CVM</x:v>
      </x:c>
      <x:c r="D7" s="26" t="str">
        <x:v>31/03/2025 V1</x:v>
      </x:c>
      <x:c r="E7" s="26" t="str">
        <x:v>2025-05-14</x:v>
      </x:c>
      <x:c r="F7" s="26" t="str">
        <x:v>2026-10-24</x:v>
      </x:c>
      <x:c r="G7" s="26" t="str">
        <x:v>Demonstrações, notas e relatório de revisão</x:v>
      </x:c>
      <x:c r="H7" s="26" t="str">
        <x:v>https://www.rad.cvm.gov.br/ENET/frmGerenciaPaginaFRE.aspx?CodigoTipoInstituicao=1&amp;NumeroSequencialDocumento=147666</x:v>
      </x:c>
      <x:c r="I7" s="26" t="str">
        <x:v>Tendências intra-anuais e eventos do exercício</x:v>
      </x:c>
    </x:row>
    <x:row r="8">
      <x:c r="A8" s="22" t="str">
        <x:v>F04</x:v>
      </x:c>
      <x:c r="B8" s="26" t="str">
        <x:v>Informações Trimestrais 2T25</x:v>
      </x:c>
      <x:c r="C8" s="26" t="str">
        <x:v>Tupy S.A. / CVM</x:v>
      </x:c>
      <x:c r="D8" s="26" t="str">
        <x:v>30/06/2025 V1</x:v>
      </x:c>
      <x:c r="E8" s="26" t="str">
        <x:v>2025-08-13</x:v>
      </x:c>
      <x:c r="F8" s="26" t="str">
        <x:v>2026-10-24</x:v>
      </x:c>
      <x:c r="G8" s="26" t="str">
        <x:v>Demonstrações, notas e relatório de revisão</x:v>
      </x:c>
      <x:c r="H8" s="26" t="str">
        <x:v>https://www.rad.cvm.gov.br/ENET/frmGerenciaPaginaFRE.aspx?CodigoTipoInstituicao=1&amp;NumeroSequencialDocumento=151119</x:v>
      </x:c>
      <x:c r="I8" s="26" t="str">
        <x:v>Tendências intra-anuais e impairment</x:v>
      </x:c>
    </x:row>
    <x:row r="9">
      <x:c r="A9" s="22" t="str">
        <x:v>F05</x:v>
      </x:c>
      <x:c r="B9" s="26" t="str">
        <x:v>Informações Trimestrais 3T25</x:v>
      </x:c>
      <x:c r="C9" s="26" t="str">
        <x:v>Tupy S.A. / CVM</x:v>
      </x:c>
      <x:c r="D9" s="26" t="str">
        <x:v>30/09/2025 V1</x:v>
      </x:c>
      <x:c r="E9" s="26" t="str">
        <x:v>2025-11-06</x:v>
      </x:c>
      <x:c r="F9" s="26" t="str">
        <x:v>2026-10-24</x:v>
      </x:c>
      <x:c r="G9" s="26" t="str">
        <x:v>Demonstrações, notas e relatório de revisão</x:v>
      </x:c>
      <x:c r="H9" s="26" t="str">
        <x:v>https://www.rad.cvm.gov.br/ENET/frmGerenciaPaginaFRE.aspx?CodigoTipoInstituicao=1&amp;NumeroSequencialDocumento=152772</x:v>
      </x:c>
      <x:c r="I9" s="26" t="str">
        <x:v>Tendências, liquidez, covenants e estimativas</x:v>
      </x:c>
    </x:row>
    <x:row r="10">
      <x:c r="A10" s="22" t="str">
        <x:v>F06</x:v>
      </x:c>
      <x:c r="B10" s="26" t="str">
        <x:v>Informações Trimestrais 1T26</x:v>
      </x:c>
      <x:c r="C10" s="26" t="str">
        <x:v>Tupy S.A. / CVM</x:v>
      </x:c>
      <x:c r="D10" s="26" t="str">
        <x:v>31/03/2026 V1</x:v>
      </x:c>
      <x:c r="E10" s="26" t="str">
        <x:v>2026-05-14</x:v>
      </x:c>
      <x:c r="F10" s="26" t="str">
        <x:v>2026-10-24</x:v>
      </x:c>
      <x:c r="G10" s="26" t="str">
        <x:v>Demonstrações, notas e eventos posteriores</x:v>
      </x:c>
      <x:c r="H10" s="26" t="str">
        <x:v>https://www.rad.cvm.gov.br/ENET/frmGerenciaPaginaFRE.aspx?CodigoTipoInstituicao=1&amp;NumeroSequencialDocumento=157376</x:v>
      </x:c>
      <x:c r="I10" s="26" t="str">
        <x:v>Acompanhamento posterior ao relatório e sucessão do CEO</x:v>
      </x:c>
    </x:row>
    <x:row r="11">
      <x:c r="A11" s="22" t="str">
        <x:v>F07</x:v>
      </x:c>
      <x:c r="B11" s="26" t="str">
        <x:v>Informações Trimestrais 2T26</x:v>
      </x:c>
      <x:c r="C11" s="26" t="str">
        <x:v>Tupy S.A. / CVM</x:v>
      </x:c>
      <x:c r="D11" s="26" t="str">
        <x:v>30/06/2026 V1</x:v>
      </x:c>
      <x:c r="E11" s="26" t="str">
        <x:v>2026-08-06</x:v>
      </x:c>
      <x:c r="F11" s="26" t="str">
        <x:v>2026-10-24</x:v>
      </x:c>
      <x:c r="G11" s="26" t="str">
        <x:v>Demonstrações, notas 15, 31 e relatório de revisão</x:v>
      </x:c>
      <x:c r="H11" s="26" t="str">
        <x:v>https://www.rad.cvm.gov.br/ENET/frmGerenciaPaginaFRE.aspx?CodigoTipoInstituicao=1&amp;NumeroSequencialDocumento=160242</x:v>
      </x:c>
      <x:c r="I11" s="26" t="str">
        <x:v>Acompanhamento posterior, dívida, financiamento BNDES e governança</x:v>
      </x:c>
    </x:row>
    <x:row r="12">
      <x:c r="A12" s="22" t="str">
        <x:v>F08</x:v>
      </x:c>
      <x:c r="B12" s="26" t="str">
        <x:v>Formulário de Referência 2025</x:v>
      </x:c>
      <x:c r="C12" s="26" t="str">
        <x:v>Tupy S.A. / CVM</x:v>
      </x:c>
      <x:c r="D12" s="26" t="str">
        <x:v>2025 V23</x:v>
      </x:c>
      <x:c r="E12" s="26" t="str">
        <x:v>2026-05-26</x:v>
      </x:c>
      <x:c r="F12" s="26" t="str">
        <x:v>2026-10-24</x:v>
      </x:c>
      <x:c r="G12" s="26" t="str">
        <x:v>Itens 5.2 e 9.1-9.4</x:v>
      </x:c>
      <x:c r="H12" s="26" t="str">
        <x:v>https://www.rad.cvm.gov.br/ENET/frmGerenciaPaginaFRE.aspx?CodigoTipoInstituicao=1&amp;NumeroSequencialDocumento=157961</x:v>
      </x:c>
      <x:c r="I12" s="26" t="str">
        <x:v>Riscos, controles internos, auditor independente e governança</x:v>
      </x:c>
    </x:row>
    <x:row r="13">
      <x:c r="A13" s="22" t="str">
        <x:v>F09</x:v>
      </x:c>
      <x:c r="B13" s="26" t="str">
        <x:v>Empresas listadas - Tupy S.A.</x:v>
      </x:c>
      <x:c r="C13" s="26" t="str">
        <x:v>B3</x:v>
      </x:c>
      <x:c r="D13" s="26" t="str">
        <x:v>Cadastro corrente</x:v>
      </x:c>
      <x:c r="E13" s="26" t="str">
        <x:v>na</x:v>
      </x:c>
      <x:c r="F13" s="26" t="str">
        <x:v>2026-10-24</x:v>
      </x:c>
      <x:c r="G13" s="26" t="str">
        <x:v>Visão geral</x:v>
      </x:c>
      <x:c r="H13" s="26" t="str">
        <x:v>https://sistemaswebb3-listados.b3.com.br/listedCompaniesPage/main/6343/CODBOLSA/overview?language=pt-br</x:v>
      </x:c>
      <x:c r="I13" s="26" t="str">
        <x:v>Ticker, CNPJ, código CVM, segmento e atividade</x:v>
      </x:c>
    </x:row>
    <x:row r="14">
      <x:c r="A14" s="22" t="str">
        <x:v>F10</x:v>
      </x:c>
      <x:c r="B14" s="26" t="str">
        <x:v>Central de Resultados</x:v>
      </x:c>
      <x:c r="C14" s="26" t="str">
        <x:v>Tupy Relações com Investidores</x:v>
      </x:c>
      <x:c r="D14" s="26" t="str">
        <x:v>2025-2026</x:v>
      </x:c>
      <x:c r="E14" s="26" t="str">
        <x:v>na</x:v>
      </x:c>
      <x:c r="F14" s="26" t="str">
        <x:v>2026-10-24</x:v>
      </x:c>
      <x:c r="G14" s="26" t="str">
        <x:v>Arquivos de 2025 e 2026</x:v>
      </x:c>
      <x:c r="H14" s="26" t="str">
        <x:v>https://ri.tupy.com.br/informacoes-financeiras/central-de-resultados/</x:v>
      </x:c>
      <x:c r="I14" s="26" t="str">
        <x:v>Cópias corporativas das demonstrações, releases e apresentações</x:v>
      </x:c>
    </x:row>
    <x:row r="15">
      <x:c r="A15" s="22" t="str">
        <x:v>F11</x:v>
      </x:c>
      <x:c r="B15" s="26" t="str">
        <x:v>Relatório do Comitê de Auditoria e Riscos Estatutário</x:v>
      </x:c>
      <x:c r="C15" s="26" t="str">
        <x:v>Tupy S.A.</x:v>
      </x:c>
      <x:c r="D15" s="26" t="str">
        <x:v>2025</x:v>
      </x:c>
      <x:c r="E15" s="26" t="str">
        <x:v>2026-03-19</x:v>
      </x:c>
      <x:c r="F15" s="26" t="str">
        <x:v>2026-10-24</x:v>
      </x:c>
      <x:c r="G15" s="26" t="str">
        <x:v>Documento integral</x:v>
      </x:c>
      <x:c r="H15" s="26" t="str">
        <x:v>https://ri.tupy.com.br/</x:v>
      </x:c>
      <x:c r="I15" s="26" t="str">
        <x:v>Governança, interação com auditoria e monitoramento de riscos</x:v>
      </x:c>
    </x:row>
    <x:row r="16">
      <x:c r="A16" s="22" t="str">
        <x:v>F12</x:v>
      </x:c>
      <x:c r="B16" s="26" t="str">
        <x:v>Relatório de Sustentabilidade 2025</x:v>
      </x:c>
      <x:c r="C16" s="26" t="str">
        <x:v>Tupy S.A.</x:v>
      </x:c>
      <x:c r="D16" s="26" t="str">
        <x:v>2025</x:v>
      </x:c>
      <x:c r="E16" s="26" t="str">
        <x:v>2026</x:v>
      </x:c>
      <x:c r="F16" s="26" t="str">
        <x:v>2026-10-24</x:v>
      </x:c>
      <x:c r="G16" s="26" t="str">
        <x:v>Documento integral</x:v>
      </x:c>
      <x:c r="H16" s="26" t="str">
        <x:v>https://ri.tupy.com.br/sustentabilidade/relatorios-e-indicadores/</x:v>
      </x:c>
      <x:c r="I16" s="26" t="str">
        <x:v>Contexto operacional, ambiental, social e de governança</x:v>
      </x:c>
    </x:row>
    <x:row r="17">
      <x:c r="A17" s="22" t="str">
        <x:v>F13</x:v>
      </x:c>
      <x:c r="B17" s="26" t="str">
        <x:v>NBC TA - Auditoria Independente de Informação Contábil Histórica</x:v>
      </x:c>
      <x:c r="C17" s="26" t="str">
        <x:v>Conselho Federal de Contabilidade</x:v>
      </x:c>
      <x:c r="D17" s="26" t="str">
        <x:v>consulta vigente</x:v>
      </x:c>
      <x:c r="E17" s="26" t="str">
        <x:v>na</x:v>
      </x:c>
      <x:c r="F17" s="26" t="str">
        <x:v>2026-10-24</x:v>
      </x:c>
      <x:c r="G17" s="26" t="str">
        <x:v>Tabela de normas</x:v>
      </x:c>
      <x:c r="H17" s="26" t="str">
        <x:v>https://cfc.org.br/tecnica/normas-brasileiras-de-contabilidade/nbc-ta-de-auditoria-independente/</x:v>
      </x:c>
      <x:c r="I17" s="26" t="str">
        <x:v>Identificação das normas e versões</x:v>
      </x:c>
    </x:row>
    <x:row r="18">
      <x:c r="A18" s="22" t="str">
        <x:v>F14</x:v>
      </x:c>
      <x:c r="B18" s="26" t="str">
        <x:v>NBC TA 240 R2</x:v>
      </x:c>
      <x:c r="C18" s="26" t="str">
        <x:v>Conselho Federal de Contabilidade</x:v>
      </x:c>
      <x:c r="D18" s="26" t="str">
        <x:v>2026</x:v>
      </x:c>
      <x:c r="E18" s="26" t="str">
        <x:v>2026-09-25</x:v>
      </x:c>
      <x:c r="F18" s="26" t="str">
        <x:v>2026-10-24</x:v>
      </x:c>
      <x:c r="G18" s="26" t="str">
        <x:v>Item 16</x:v>
      </x:c>
      <x:c r="H18" s="26" t="str">
        <x:v>https://www1.cfc.org.br/sisweb/SRE/docs/NBCTA240(R2).pdf</x:v>
      </x:c>
      <x:c r="I18" s="26" t="str">
        <x:v>Confirmar vigência apenas para períodos iniciados em ou após 01/01/2027</x:v>
      </x:c>
    </x:row>
    <x:row r="19">
      <x:c r="A19" s="22" t="str">
        <x:v>F15</x:v>
      </x:c>
      <x:c r="B19" s="26" t="str">
        <x:v>NBC TA 570 R1</x:v>
      </x:c>
      <x:c r="C19" s="26" t="str">
        <x:v>Conselho Federal de Contabilidade</x:v>
      </x:c>
      <x:c r="D19" s="26" t="str">
        <x:v>2026</x:v>
      </x:c>
      <x:c r="E19" s="26" t="str">
        <x:v>2026-09-25</x:v>
      </x:c>
      <x:c r="F19" s="26" t="str">
        <x:v>2026-10-24</x:v>
      </x:c>
      <x:c r="G19" s="26" t="str">
        <x:v>Item 8</x:v>
      </x:c>
      <x:c r="H19" s="26" t="str">
        <x:v>https://www1.cfc.org.br/sisweb/SRE/docs/NBCTA570(R1).pdf</x:v>
      </x:c>
      <x:c r="I19" s="26" t="str">
        <x:v>Confirmar vigência apenas para períodos iniciados em ou após 01/01/2027</x:v>
      </x:c>
    </x:row>
    <x:row r="20">
      <x:c r="A20" s="22" t="str">
        <x:v>F16</x:v>
      </x:c>
      <x:c r="B20" s="26" t="str">
        <x:v>Consolidado de Normas de Auditoria</x:v>
      </x:c>
      <x:c r="C20" s="26" t="str">
        <x:v>Material da disciplina</x:v>
      </x:c>
      <x:c r="D20" s="26" t="str">
        <x:v>versões aplicáveis ao exercício de 2025</x:v>
      </x:c>
      <x:c r="E20" s="26" t="str">
        <x:v>na</x:v>
      </x:c>
      <x:c r="F20" s="26" t="str">
        <x:v>2026-10-24</x:v>
      </x:c>
      <x:c r="G20" s="26" t="str">
        <x:v>Normas EC e NBC TA 200 a 600</x:v>
      </x:c>
      <x:c r="H20" s="26" t="str">
        <x:v>local:Consolidado Normas Aud1.pdf</x:v>
      </x:c>
      <x:c r="I20" s="26" t="str">
        <x:v>Texto normativo utilizado no dossiê</x:v>
      </x:c>
    </x:row>
    <x:row r="21">
      <x:c r="A21" s="22" t="str">
        <x:v>F17</x:v>
      </x:c>
      <x:c r="B21" s="26" t="str">
        <x:v>Amostragem por unidade monetária</x:v>
      </x:c>
      <x:c r="C21" s="26" t="str">
        <x:v>Material da disciplina / Gramling</x:v>
      </x:c>
      <x:c r="D21" s="26" t="str">
        <x:v>capítulo fornecido</x:v>
      </x:c>
      <x:c r="E21" s="26" t="str">
        <x:v>na</x:v>
      </x:c>
      <x:c r="F21" s="26" t="str">
        <x:v>2026-10-24</x:v>
      </x:c>
      <x:c r="G21" s="26" t="str">
        <x:v>Documento integral</x:v>
      </x:c>
      <x:c r="H21" s="26" t="str">
        <x:v>local:MUS Gramling (1).pdf</x:v>
      </x:c>
      <x:c r="I21" s="26" t="str">
        <x:v>Parâmetros didáticos e desenho da amostragem MUS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5" hidden="0" customWidth="1"/>
    <x:col min="2" max="2" width="92" hidden="0" customWidth="1"/>
  </x:cols>
  <x:sheetData>
    <x:row r="1" ht="28" customHeight="1">
      <x:c r="A1" s="4" t="str">
        <x:v>Como usar esta planilha</x:v>
      </x:c>
      <x:c r="B1" s="4"/>
      <x:c r="C1" s="4"/>
      <x:c r="D1" s="4"/>
      <x:c r="E1" s="4"/>
      <x:c r="F1" s="4"/>
    </x:row>
    <x:row r="2">
      <x:c r="A2" s="5" t="str">
        <x:v>Cálculos acadêmicos de auditoria para o exercício de 2025</x:v>
      </x:c>
      <x:c r="B2" s="5"/>
      <x:c r="C2" s="5"/>
      <x:c r="D2" s="5"/>
      <x:c r="E2" s="5"/>
      <x:c r="F2" s="5"/>
    </x:row>
    <x:row r="3">
      <x:c r="A3" s="36"/>
      <x:c r="B3" s="36"/>
      <x:c r="C3" s="36"/>
      <x:c r="D3" s="36"/>
      <x:c r="E3" s="36"/>
      <x:c r="F3" s="36"/>
    </x:row>
    <x:row r="4" ht="30" customHeight="1">
      <x:c r="A4" s="19" t="str">
        <x:v>Tema</x:v>
      </x:c>
      <x:c r="B4" s="19" t="str">
        <x:v>Orientação</x:v>
      </x:c>
      <x:c r="C4" s="36"/>
      <x:c r="D4" s="36"/>
      <x:c r="E4" s="36"/>
      <x:c r="F4" s="36"/>
    </x:row>
    <x:row r="5">
      <x:c r="A5" s="22" t="str">
        <x:v>Escopo</x:v>
      </x:c>
      <x:c r="B5" s="26" t="str">
        <x:v>Tupy S.A. e controladas, 31/12/2025.</x:v>
      </x:c>
      <x:c r="C5" s="36"/>
      <x:c r="D5" s="36"/>
      <x:c r="E5" s="36"/>
      <x:c r="F5" s="36"/>
    </x:row>
    <x:row r="6">
      <x:c r="A6" s="22" t="str">
        <x:v>Unidade</x:v>
      </x:c>
      <x:c r="B6" s="26" t="str">
        <x:v>Valores financeiros armazenados em reais; a fonte pública apresenta R$ mil.</x:v>
      </x:c>
      <x:c r="C6" s="36"/>
      <x:c r="D6" s="36"/>
      <x:c r="E6" s="36"/>
      <x:c r="F6" s="36"/>
    </x:row>
    <x:row r="7">
      <x:c r="A7" s="22" t="str">
        <x:v>Entradas públicas</x:v>
      </x:c>
      <x:c r="B7" s="26" t="str">
        <x:v>Demonstrações, notas, CVM, B3, RI e Formulário de Referência.</x:v>
      </x:c>
      <x:c r="C7" s="36"/>
      <x:c r="D7" s="36"/>
      <x:c r="E7" s="36"/>
      <x:c r="F7" s="36"/>
    </x:row>
    <x:row r="8">
      <x:c r="A8" s="22" t="str">
        <x:v>Base sintética</x:v>
      </x:c>
      <x:c r="B8" s="26" t="str">
        <x:v>520.000 registros artificiais; somente os totais agregados vêm da Nota 13.</x:v>
      </x:c>
      <x:c r="C8" s="36"/>
      <x:c r="D8" s="36"/>
      <x:c r="E8" s="36"/>
      <x:c r="F8" s="36"/>
    </x:row>
    <x:row r="9">
      <x:c r="A9" s="22" t="str">
        <x:v>Cores de fórmulas</x:v>
      </x:c>
      <x:c r="B9" s="26" t="str">
        <x:v>Fórmulas internas em preto; links entre abas em verde quando aplicável.</x:v>
      </x:c>
      <x:c r="C9" s="36"/>
      <x:c r="D9" s="36"/>
      <x:c r="E9" s="36"/>
      <x:c r="F9" s="36"/>
    </x:row>
    <x:row r="10">
      <x:c r="A10" s="22" t="str">
        <x:v>Resultado MUS</x:v>
      </x:c>
      <x:c r="B10" s="26" t="str">
        <x:v>Aplica-se somente à população artificial.</x:v>
      </x:c>
      <x:c r="C10" s="36"/>
      <x:c r="D10" s="36"/>
      <x:c r="E10" s="36"/>
      <x:c r="F10" s="36"/>
    </x:row>
    <x:row r="11">
      <x:c r="A11" s="22" t="str">
        <x:v>Revisão</x:v>
      </x:c>
      <x:c r="B11" s="26" t="str">
        <x:v>Campo de revisor permanece em branco; não foi fabricada segunda revisão.</x:v>
      </x:c>
      <x:c r="C11" s="36"/>
      <x:c r="D11" s="36"/>
      <x:c r="E11" s="36"/>
      <x:c r="F11" s="36"/>
    </x:row>
    <x:row r="12">
      <x:c r="A12" s="22" t="str">
        <x:v>Limite</x:v>
      </x:c>
      <x:c r="B12" s="26" t="str">
        <x:v>A planilha não constitui auditoria, opinião, recomendação de investimento ou parecer jurídico.</x:v>
      </x:c>
      <x:c r="C12" s="36"/>
      <x:c r="D12" s="36"/>
      <x:c r="E12" s="36"/>
      <x:c r="F12" s="36"/>
    </x:row>
  </x:sheetData>
  <x:pageMargins left="0.7" right="0.7" top="0.75" bottom="0.75" header="0.3" footer="0.3"/>
</x:worksheet>
</file>